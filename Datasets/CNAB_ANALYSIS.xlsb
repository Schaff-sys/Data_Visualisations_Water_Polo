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tables/table4.bin" ContentType="application/vnd.ms-excel.table"/>
  <Override PartName="/xl/queryTables/queryTable3.bin" ContentType="application/vnd.ms-excel.queryTable"/>
  <Override PartName="/xl/tables/table5.bin" ContentType="application/vnd.ms-excel.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tables/table6.bin" ContentType="application/vnd.ms-excel.table"/>
  <Override PartName="/xl/queryTables/queryTable4.bin" ContentType="application/vnd.ms-excel.queryTable"/>
  <Override PartName="/xl/tables/table7.bin" ContentType="application/vnd.ms-excel.table"/>
  <Override PartName="/xl/queryTables/queryTable5.bin" ContentType="application/vnd.ms-excel.queryTable"/>
  <Override PartName="/xl/tables/table8.bin" ContentType="application/vnd.ms-excel.table"/>
  <Override PartName="/xl/queryTables/queryTable6.bin" ContentType="application/vnd.ms-excel.queryTable"/>
  <Override PartName="/xl/tables/table9.bin" ContentType="application/vnd.ms-excel.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slicers/slicer4.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slicers/slicer5.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slicers/slicer6.bin" ContentType="application/vnd.ms-excel.slicer"/>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pivotCacheDefinition" Target="pivotCache/pivotCacheDefinition4.bin"/><Relationship Id="rId39" Type="http://schemas.microsoft.com/office/2007/relationships/slicerCache" Target="slicerCaches/slicerCache13.bin"/><Relationship Id="rId21" Type="http://schemas.openxmlformats.org/officeDocument/2006/relationships/worksheet" Target="worksheets/sheet21.bin"/><Relationship Id="rId34" Type="http://schemas.microsoft.com/office/2007/relationships/slicerCache" Target="slicerCaches/slicerCache8.bin"/><Relationship Id="rId42" Type="http://schemas.openxmlformats.org/officeDocument/2006/relationships/theme" Target="theme/theme1.xml"/><Relationship Id="rId47" Type="http://schemas.openxmlformats.org/officeDocument/2006/relationships/calcChain" Target="calcChain.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microsoft.com/office/2007/relationships/slicerCache" Target="slicerCaches/slicerCache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pivotCacheDefinition" Target="pivotCache/pivotCacheDefinition2.bin"/><Relationship Id="rId32" Type="http://schemas.microsoft.com/office/2007/relationships/slicerCache" Target="slicerCaches/slicerCache6.bin"/><Relationship Id="rId37" Type="http://schemas.microsoft.com/office/2007/relationships/slicerCache" Target="slicerCaches/slicerCache11.bin"/><Relationship Id="rId40" Type="http://schemas.microsoft.com/office/2007/relationships/slicerCache" Target="slicerCaches/slicerCache14.bin"/><Relationship Id="rId45"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pivotCacheDefinition" Target="pivotCache/pivotCacheDefinition1.bin"/><Relationship Id="rId28" Type="http://schemas.microsoft.com/office/2007/relationships/slicerCache" Target="slicerCaches/slicerCache2.bin"/><Relationship Id="rId36" Type="http://schemas.microsoft.com/office/2007/relationships/slicerCache" Target="slicerCaches/slicerCache10.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7/relationships/slicerCache" Target="slicerCaches/slicerCache5.bin"/><Relationship Id="rId44"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7/relationships/slicerCache" Target="slicerCaches/slicerCache1.bin"/><Relationship Id="rId30" Type="http://schemas.microsoft.com/office/2007/relationships/slicerCache" Target="slicerCaches/slicerCache4.bin"/><Relationship Id="rId35" Type="http://schemas.microsoft.com/office/2007/relationships/slicerCache" Target="slicerCaches/slicerCache9.bin"/><Relationship Id="rId43" Type="http://schemas.openxmlformats.org/officeDocument/2006/relationships/connections" Target="connections.bin"/><Relationship Id="rId48" Type="http://schemas.openxmlformats.org/officeDocument/2006/relationships/customXml" Target="../customXml/item1.xml"/><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pivotCacheDefinition" Target="pivotCache/pivotCacheDefinition3.bin"/><Relationship Id="rId33" Type="http://schemas.microsoft.com/office/2007/relationships/slicerCache" Target="slicerCaches/slicerCache7.bin"/><Relationship Id="rId38" Type="http://schemas.microsoft.com/office/2007/relationships/slicerCache" Target="slicerCaches/slicerCache12.bin"/><Relationship Id="rId46" Type="http://schemas.microsoft.com/office/2017/10/relationships/person" Target="persons/person.xml"/><Relationship Id="rId20" Type="http://schemas.openxmlformats.org/officeDocument/2006/relationships/worksheet" Target="worksheets/sheet20.bin"/><Relationship Id="rId41" Type="http://schemas.microsoft.com/office/2007/relationships/slicerCache" Target="slicerCaches/slicerCache1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Key contributors:</a:t>
            </a:r>
            <a:r>
              <a:rPr lang="en-US" baseline="0"/>
              <a:t> Powerplay</a:t>
            </a:r>
            <a:endParaRPr lang="en-US"/>
          </a:p>
        </c:rich>
      </c:tx>
      <c:layout>
        <c:manualLayout>
          <c:xMode val="edge"/>
          <c:yMode val="edge"/>
          <c:x val="0.47873660765505788"/>
          <c:y val="8.42358674853667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s>
    <c:plotArea>
      <c:layout/>
      <c:pieChart>
        <c:varyColors val="1"/>
        <c:ser>
          <c:idx val="0"/>
          <c:order val="0"/>
          <c:tx>
            <c:strRef>
              <c:f>'PIVOT TABLES'!$B$3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11A1-4D01-90F5-7671C4F5E997}"/>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11A1-4D01-90F5-7671C4F5E997}"/>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11A1-4D01-90F5-7671C4F5E997}"/>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11A1-4D01-90F5-7671C4F5E997}"/>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11A1-4D01-90F5-7671C4F5E997}"/>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11A1-4D01-90F5-7671C4F5E997}"/>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11A1-4D01-90F5-7671C4F5E997}"/>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11A1-4D01-90F5-7671C4F5E997}"/>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11A1-4D01-90F5-7671C4F5E997}"/>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3-11A1-4D01-90F5-7671C4F5E99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'PIVOT TABLES'!$A$4:$A$10</c:f>
              <c:multiLvlStrCache>
                <c:ptCount val="5"/>
                <c:lvl>
                  <c:pt idx="0">
                    <c:v>Alberto Munarriz 23</c:v>
                  </c:pt>
                  <c:pt idx="1">
                    <c:v>Bernat Sanahuja 23</c:v>
                  </c:pt>
                  <c:pt idx="2">
                    <c:v>Luke Pavillard 23</c:v>
                  </c:pt>
                  <c:pt idx="3">
                    <c:v>Martin Famera 23</c:v>
                  </c:pt>
                  <c:pt idx="4">
                    <c:v>Roger Tahull 23</c:v>
                  </c:pt>
                </c:lvl>
                <c:lvl>
                  <c:pt idx="0">
                    <c:v>2023</c:v>
                  </c:pt>
                </c:lvl>
              </c:multiLvlStrCache>
            </c:multiLvlStrRef>
          </c:cat>
          <c:val>
            <c:numRef>
              <c:f>'PIVOT TABLES'!$B$4:$B$10</c:f>
              <c:numCache>
                <c:formatCode>General</c:formatCode>
                <c:ptCount val="5"/>
                <c:pt idx="0">
                  <c:v>3</c:v>
                </c:pt>
                <c:pt idx="1">
                  <c:v>5</c:v>
                </c:pt>
                <c:pt idx="2">
                  <c:v>4</c:v>
                </c:pt>
                <c:pt idx="3">
                  <c:v>3</c:v>
                </c:pt>
                <c:pt idx="4">
                  <c:v>3</c:v>
                </c:pt>
              </c:numCache>
            </c:numRef>
          </c:val>
          <c:extLst>
            <c:ext xmlns:c16="http://schemas.microsoft.com/office/drawing/2014/chart" uri="{C3380CC4-5D6E-409C-BE32-E72D297353CC}">
              <c16:uniqueId val="{00000014-11A1-4D01-90F5-7671C4F5E997}"/>
            </c:ext>
          </c:extLst>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Key</a:t>
            </a:r>
            <a:r>
              <a:rPr lang="en-US" baseline="0"/>
              <a:t> contributors: Iguales</a:t>
            </a:r>
            <a:endParaRPr lang="en-US"/>
          </a:p>
        </c:rich>
      </c:tx>
      <c:layout>
        <c:manualLayout>
          <c:xMode val="edge"/>
          <c:yMode val="edge"/>
          <c:x val="0.50138205932578717"/>
          <c:y val="0.1294487500630432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s>
    <c:plotArea>
      <c:layout/>
      <c:pieChart>
        <c:varyColors val="1"/>
        <c:ser>
          <c:idx val="0"/>
          <c:order val="0"/>
          <c:tx>
            <c:strRef>
              <c:f>'PIVOT TABLES'!$B$14</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C6F4-4C0B-A4CC-43767796343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C6F4-4C0B-A4CC-43767796343D}"/>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C6F4-4C0B-A4CC-43767796343D}"/>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C6F4-4C0B-A4CC-43767796343D}"/>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C6F4-4C0B-A4CC-43767796343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TABLES'!$A$15:$A$20</c:f>
              <c:strCache>
                <c:ptCount val="5"/>
                <c:pt idx="0">
                  <c:v>Alvaro Granados 24</c:v>
                </c:pt>
                <c:pt idx="1">
                  <c:v>Bernat Sanahuja 24</c:v>
                </c:pt>
                <c:pt idx="2">
                  <c:v>Felipe Perrone 24</c:v>
                </c:pt>
                <c:pt idx="3">
                  <c:v>Roger Tahull 24</c:v>
                </c:pt>
                <c:pt idx="4">
                  <c:v>Vince Vigvari 24</c:v>
                </c:pt>
              </c:strCache>
            </c:strRef>
          </c:cat>
          <c:val>
            <c:numRef>
              <c:f>'PIVOT TABLES'!$B$15:$B$20</c:f>
              <c:numCache>
                <c:formatCode>General</c:formatCode>
                <c:ptCount val="5"/>
                <c:pt idx="0">
                  <c:v>6</c:v>
                </c:pt>
                <c:pt idx="1">
                  <c:v>6</c:v>
                </c:pt>
                <c:pt idx="2">
                  <c:v>4</c:v>
                </c:pt>
                <c:pt idx="3">
                  <c:v>10</c:v>
                </c:pt>
                <c:pt idx="4">
                  <c:v>7</c:v>
                </c:pt>
              </c:numCache>
            </c:numRef>
          </c:val>
          <c:extLst>
            <c:ext xmlns:c16="http://schemas.microsoft.com/office/drawing/2014/chart" uri="{C3380CC4-5D6E-409C-BE32-E72D297353CC}">
              <c16:uniqueId val="{0000000E-C112-44DB-B781-A78FCC95AF78}"/>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0913731473550501"/>
          <c:y val="0.36654700989314065"/>
          <c:w val="0.24960556678726162"/>
          <c:h val="0.370471468923304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TABLES!PivotTable3</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800"/>
              <a:t>Player shooting</a:t>
            </a:r>
            <a:r>
              <a:rPr lang="en-GB" sz="2800" baseline="0"/>
              <a:t> efficiency in open play situations</a:t>
            </a:r>
            <a:endParaRPr lang="en-GB" sz="28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TABLES'!$H$4</c:f>
              <c:strCache>
                <c:ptCount val="1"/>
                <c:pt idx="0">
                  <c:v>Sum of ACTION GOALS (EFFICIENCY)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TABLES'!$G$5:$G$18</c:f>
              <c:strCache>
                <c:ptCount val="13"/>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strCache>
            </c:strRef>
          </c:cat>
          <c:val>
            <c:numRef>
              <c:f>'PIVOT TABLES'!$H$5:$H$18</c:f>
              <c:numCache>
                <c:formatCode>0%</c:formatCode>
                <c:ptCount val="13"/>
                <c:pt idx="0">
                  <c:v>0</c:v>
                </c:pt>
                <c:pt idx="1">
                  <c:v>0.33333333333333331</c:v>
                </c:pt>
                <c:pt idx="2">
                  <c:v>0.33333333333333331</c:v>
                </c:pt>
                <c:pt idx="3">
                  <c:v>0.42857142857142855</c:v>
                </c:pt>
                <c:pt idx="4">
                  <c:v>0</c:v>
                </c:pt>
                <c:pt idx="5">
                  <c:v>0.44444444444444442</c:v>
                </c:pt>
                <c:pt idx="6">
                  <c:v>0.22222222222222221</c:v>
                </c:pt>
                <c:pt idx="7">
                  <c:v>1</c:v>
                </c:pt>
                <c:pt idx="8">
                  <c:v>0.25</c:v>
                </c:pt>
                <c:pt idx="9">
                  <c:v>0.83333333333333337</c:v>
                </c:pt>
                <c:pt idx="10">
                  <c:v>0.22222222222222221</c:v>
                </c:pt>
                <c:pt idx="11">
                  <c:v>0</c:v>
                </c:pt>
                <c:pt idx="12">
                  <c:v>0.5</c:v>
                </c:pt>
              </c:numCache>
            </c:numRef>
          </c:val>
          <c:extLst>
            <c:ext xmlns:c16="http://schemas.microsoft.com/office/drawing/2014/chart" uri="{C3380CC4-5D6E-409C-BE32-E72D297353CC}">
              <c16:uniqueId val="{00000000-DBB8-4DD2-AD7E-A9C3F14BBDF8}"/>
            </c:ext>
          </c:extLst>
        </c:ser>
        <c:ser>
          <c:idx val="1"/>
          <c:order val="1"/>
          <c:tx>
            <c:strRef>
              <c:f>'PIVOT TABLES'!$I$4</c:f>
              <c:strCache>
                <c:ptCount val="1"/>
                <c:pt idx="0">
                  <c:v>Sum of POWERPLAY GOALS (EFFICIENCY)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TABLES'!$G$5:$G$18</c:f>
              <c:strCache>
                <c:ptCount val="13"/>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strCache>
            </c:strRef>
          </c:cat>
          <c:val>
            <c:numRef>
              <c:f>'PIVOT TABLES'!$I$5:$I$18</c:f>
              <c:numCache>
                <c:formatCode>0%</c:formatCode>
                <c:ptCount val="13"/>
                <c:pt idx="0">
                  <c:v>1</c:v>
                </c:pt>
                <c:pt idx="1">
                  <c:v>1</c:v>
                </c:pt>
                <c:pt idx="2">
                  <c:v>0.88888888888888884</c:v>
                </c:pt>
                <c:pt idx="3">
                  <c:v>0</c:v>
                </c:pt>
                <c:pt idx="4">
                  <c:v>0</c:v>
                </c:pt>
                <c:pt idx="5">
                  <c:v>0</c:v>
                </c:pt>
                <c:pt idx="6">
                  <c:v>0</c:v>
                </c:pt>
                <c:pt idx="7">
                  <c:v>1</c:v>
                </c:pt>
                <c:pt idx="8">
                  <c:v>1</c:v>
                </c:pt>
                <c:pt idx="9">
                  <c:v>0.83333333333333337</c:v>
                </c:pt>
                <c:pt idx="10">
                  <c:v>1</c:v>
                </c:pt>
                <c:pt idx="11">
                  <c:v>1</c:v>
                </c:pt>
                <c:pt idx="12">
                  <c:v>0.5</c:v>
                </c:pt>
              </c:numCache>
            </c:numRef>
          </c:val>
          <c:extLst>
            <c:ext xmlns:c16="http://schemas.microsoft.com/office/drawing/2014/chart" uri="{C3380CC4-5D6E-409C-BE32-E72D297353CC}">
              <c16:uniqueId val="{00000001-DBB8-4DD2-AD7E-A9C3F14BBDF8}"/>
            </c:ext>
          </c:extLst>
        </c:ser>
        <c:dLbls>
          <c:dLblPos val="outEnd"/>
          <c:showLegendKey val="0"/>
          <c:showVal val="1"/>
          <c:showCatName val="0"/>
          <c:showSerName val="0"/>
          <c:showPercent val="0"/>
          <c:showBubbleSize val="0"/>
        </c:dLbls>
        <c:gapWidth val="219"/>
        <c:overlap val="-27"/>
        <c:axId val="1113063312"/>
        <c:axId val="1113064752"/>
      </c:barChart>
      <c:catAx>
        <c:axId val="111306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64752"/>
        <c:crosses val="autoZero"/>
        <c:auto val="1"/>
        <c:lblAlgn val="ctr"/>
        <c:lblOffset val="100"/>
        <c:noMultiLvlLbl val="0"/>
      </c:catAx>
      <c:valAx>
        <c:axId val="1113064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GB" sz="1400"/>
                  <a:t>Shooting</a:t>
                </a:r>
                <a:r>
                  <a:rPr lang="en-GB" sz="1400" baseline="0"/>
                  <a:t> efficiency</a:t>
                </a:r>
                <a:endParaRPr lang="en-GB" sz="1400"/>
              </a:p>
            </c:rich>
          </c:tx>
          <c:layout>
            <c:manualLayout>
              <c:xMode val="edge"/>
              <c:yMode val="edge"/>
              <c:x val="8.3668678115969883E-2"/>
              <c:y val="0.40441491588794271"/>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633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TABLES!PivotTable7</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Penalty Goals - Key Contributors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2"/>
          </a:solidFill>
          <a:ln w="19050">
            <a:solidFill>
              <a:schemeClr val="lt1"/>
            </a:solidFill>
          </a:ln>
          <a:effectLst/>
        </c:spPr>
      </c:pivotFmt>
    </c:pivotFmts>
    <c:plotArea>
      <c:layout/>
      <c:pieChart>
        <c:varyColors val="1"/>
        <c:ser>
          <c:idx val="0"/>
          <c:order val="0"/>
          <c:tx>
            <c:strRef>
              <c:f>'PIVOT TABLES'!$AB$4</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B6D-49BA-BBC0-3345FAB31FB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B6D-49BA-BBC0-3345FAB31FBC}"/>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4B6D-49BA-BBC0-3345FAB31FBC}"/>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4B6D-49BA-BBC0-3345FAB31FBC}"/>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4B6D-49BA-BBC0-3345FAB31FBC}"/>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4B6D-49BA-BBC0-3345FAB31FBC}"/>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ACE1-4181-A4DB-2029BBEEEB6B}"/>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ACE1-4181-A4DB-2029BBEEEB6B}"/>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ACE1-4181-A4DB-2029BBEEEB6B}"/>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3-ACE1-4181-A4DB-2029BBEEEB6B}"/>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5-ACE1-4181-A4DB-2029BBEEEB6B}"/>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17-ACE1-4181-A4DB-2029BBEEEB6B}"/>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19-ACE1-4181-A4DB-2029BBEEEB6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TABLES'!$AA$5:$AA$18</c:f>
              <c:strCache>
                <c:ptCount val="13"/>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strCache>
            </c:strRef>
          </c:cat>
          <c:val>
            <c:numRef>
              <c:f>'PIVOT TABLES'!$AB$5:$AB$18</c:f>
              <c:numCache>
                <c:formatCode>General</c:formatCode>
                <c:ptCount val="13"/>
                <c:pt idx="0">
                  <c:v>0</c:v>
                </c:pt>
                <c:pt idx="1">
                  <c:v>0</c:v>
                </c:pt>
                <c:pt idx="2">
                  <c:v>2</c:v>
                </c:pt>
                <c:pt idx="3">
                  <c:v>1</c:v>
                </c:pt>
                <c:pt idx="4">
                  <c:v>0</c:v>
                </c:pt>
                <c:pt idx="5">
                  <c:v>0</c:v>
                </c:pt>
                <c:pt idx="6">
                  <c:v>2</c:v>
                </c:pt>
                <c:pt idx="7">
                  <c:v>1</c:v>
                </c:pt>
                <c:pt idx="8">
                  <c:v>0</c:v>
                </c:pt>
                <c:pt idx="9">
                  <c:v>0</c:v>
                </c:pt>
                <c:pt idx="10">
                  <c:v>1</c:v>
                </c:pt>
                <c:pt idx="11">
                  <c:v>0</c:v>
                </c:pt>
                <c:pt idx="12">
                  <c:v>1</c:v>
                </c:pt>
              </c:numCache>
            </c:numRef>
          </c:val>
          <c:extLst>
            <c:ext xmlns:c16="http://schemas.microsoft.com/office/drawing/2014/chart" uri="{C3380CC4-5D6E-409C-BE32-E72D297353CC}">
              <c16:uniqueId val="{0000000C-4B6D-49BA-BBC0-3345FAB31FBC}"/>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TABLES!PivotTable8</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Direct Foul</a:t>
            </a:r>
            <a:r>
              <a:rPr lang="en-US" baseline="0"/>
              <a:t> - Key Contributors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2"/>
          </a:solidFill>
          <a:ln w="19050">
            <a:solidFill>
              <a:schemeClr val="lt1"/>
            </a:solidFill>
          </a:ln>
          <a:effectLst/>
        </c:spPr>
      </c:pivotFmt>
    </c:pivotFmts>
    <c:plotArea>
      <c:layout/>
      <c:pieChart>
        <c:varyColors val="1"/>
        <c:ser>
          <c:idx val="0"/>
          <c:order val="0"/>
          <c:tx>
            <c:strRef>
              <c:f>'PIVOT TABLES'!$L$4</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00D4-41B6-9BAE-1C999283EB90}"/>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00D4-41B6-9BAE-1C999283EB90}"/>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00D4-41B6-9BAE-1C999283EB90}"/>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FC11-4A0B-9F88-A07818122A72}"/>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FC11-4A0B-9F88-A07818122A72}"/>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FC11-4A0B-9F88-A07818122A72}"/>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FC11-4A0B-9F88-A07818122A72}"/>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FC11-4A0B-9F88-A07818122A72}"/>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FC11-4A0B-9F88-A07818122A72}"/>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3-FC11-4A0B-9F88-A07818122A72}"/>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5-FC11-4A0B-9F88-A07818122A72}"/>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17-FC11-4A0B-9F88-A07818122A72}"/>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19-FC11-4A0B-9F88-A07818122A7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TABLES'!$K$5:$K$18</c:f>
              <c:strCache>
                <c:ptCount val="13"/>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strCache>
            </c:strRef>
          </c:cat>
          <c:val>
            <c:numRef>
              <c:f>'PIVOT TABLES'!$L$5:$L$18</c:f>
              <c:numCache>
                <c:formatCode>General</c:formatCode>
                <c:ptCount val="13"/>
                <c:pt idx="0">
                  <c:v>1</c:v>
                </c:pt>
                <c:pt idx="1">
                  <c:v>0</c:v>
                </c:pt>
                <c:pt idx="2">
                  <c:v>1</c:v>
                </c:pt>
                <c:pt idx="3">
                  <c:v>0</c:v>
                </c:pt>
                <c:pt idx="4">
                  <c:v>0</c:v>
                </c:pt>
                <c:pt idx="5">
                  <c:v>0</c:v>
                </c:pt>
                <c:pt idx="6">
                  <c:v>0</c:v>
                </c:pt>
                <c:pt idx="7">
                  <c:v>0</c:v>
                </c:pt>
                <c:pt idx="8">
                  <c:v>0</c:v>
                </c:pt>
                <c:pt idx="9">
                  <c:v>0</c:v>
                </c:pt>
                <c:pt idx="10">
                  <c:v>1</c:v>
                </c:pt>
                <c:pt idx="11">
                  <c:v>0</c:v>
                </c:pt>
                <c:pt idx="12">
                  <c:v>0</c:v>
                </c:pt>
              </c:numCache>
            </c:numRef>
          </c:val>
          <c:extLst>
            <c:ext xmlns:c16="http://schemas.microsoft.com/office/drawing/2014/chart" uri="{C3380CC4-5D6E-409C-BE32-E72D297353CC}">
              <c16:uniqueId val="{00000006-00D4-41B6-9BAE-1C999283EB90}"/>
            </c:ext>
          </c:extLst>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TABLES!PivotTable9</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Efficiency of players of</a:t>
            </a:r>
            <a:r>
              <a:rPr lang="en-GB" baseline="0"/>
              <a:t> fast breaks and penalties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TABLES'!$B$59</c:f>
              <c:strCache>
                <c:ptCount val="1"/>
                <c:pt idx="0">
                  <c:v>Sum of FAST BREAK GOALS (EFFICIENCY)</c:v>
                </c:pt>
              </c:strCache>
            </c:strRef>
          </c:tx>
          <c:spPr>
            <a:solidFill>
              <a:schemeClr val="accent1"/>
            </a:solidFill>
            <a:ln>
              <a:noFill/>
            </a:ln>
            <a:effectLst/>
          </c:spPr>
          <c:invertIfNegative val="0"/>
          <c:cat>
            <c:strRef>
              <c:f>'PIVOT TABLES'!$A$60:$A$73</c:f>
              <c:strCache>
                <c:ptCount val="13"/>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strCache>
            </c:strRef>
          </c:cat>
          <c:val>
            <c:numRef>
              <c:f>'PIVOT TABLES'!$B$60:$B$73</c:f>
              <c:numCache>
                <c:formatCode>0%</c:formatCode>
                <c:ptCount val="13"/>
                <c:pt idx="0">
                  <c:v>1</c:v>
                </c:pt>
                <c:pt idx="1">
                  <c:v>0</c:v>
                </c:pt>
                <c:pt idx="2">
                  <c:v>0.75</c:v>
                </c:pt>
                <c:pt idx="3">
                  <c:v>0</c:v>
                </c:pt>
                <c:pt idx="4">
                  <c:v>0</c:v>
                </c:pt>
                <c:pt idx="5">
                  <c:v>0.5</c:v>
                </c:pt>
                <c:pt idx="6">
                  <c:v>1</c:v>
                </c:pt>
                <c:pt idx="7">
                  <c:v>0</c:v>
                </c:pt>
                <c:pt idx="8">
                  <c:v>0</c:v>
                </c:pt>
                <c:pt idx="9">
                  <c:v>0</c:v>
                </c:pt>
                <c:pt idx="10">
                  <c:v>0</c:v>
                </c:pt>
                <c:pt idx="11">
                  <c:v>0</c:v>
                </c:pt>
                <c:pt idx="12">
                  <c:v>0</c:v>
                </c:pt>
              </c:numCache>
            </c:numRef>
          </c:val>
          <c:extLst>
            <c:ext xmlns:c16="http://schemas.microsoft.com/office/drawing/2014/chart" uri="{C3380CC4-5D6E-409C-BE32-E72D297353CC}">
              <c16:uniqueId val="{00000000-6C48-4E40-A651-07B5A24ECF73}"/>
            </c:ext>
          </c:extLst>
        </c:ser>
        <c:ser>
          <c:idx val="1"/>
          <c:order val="1"/>
          <c:tx>
            <c:strRef>
              <c:f>'PIVOT TABLES'!$C$59</c:f>
              <c:strCache>
                <c:ptCount val="1"/>
                <c:pt idx="0">
                  <c:v>Sum of PENALTY GOALS (EFFICIENCY)</c:v>
                </c:pt>
              </c:strCache>
            </c:strRef>
          </c:tx>
          <c:spPr>
            <a:solidFill>
              <a:schemeClr val="accent2"/>
            </a:solidFill>
            <a:ln>
              <a:noFill/>
            </a:ln>
            <a:effectLst/>
          </c:spPr>
          <c:invertIfNegative val="0"/>
          <c:cat>
            <c:strRef>
              <c:f>'PIVOT TABLES'!$A$60:$A$73</c:f>
              <c:strCache>
                <c:ptCount val="13"/>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strCache>
            </c:strRef>
          </c:cat>
          <c:val>
            <c:numRef>
              <c:f>'PIVOT TABLES'!$C$60:$C$73</c:f>
              <c:numCache>
                <c:formatCode>0%</c:formatCode>
                <c:ptCount val="13"/>
                <c:pt idx="0">
                  <c:v>0</c:v>
                </c:pt>
                <c:pt idx="1">
                  <c:v>0</c:v>
                </c:pt>
                <c:pt idx="2">
                  <c:v>0.66666666666666663</c:v>
                </c:pt>
                <c:pt idx="3">
                  <c:v>1</c:v>
                </c:pt>
                <c:pt idx="4">
                  <c:v>0</c:v>
                </c:pt>
                <c:pt idx="5">
                  <c:v>0</c:v>
                </c:pt>
                <c:pt idx="6">
                  <c:v>1</c:v>
                </c:pt>
                <c:pt idx="7">
                  <c:v>1</c:v>
                </c:pt>
                <c:pt idx="8">
                  <c:v>0</c:v>
                </c:pt>
                <c:pt idx="9">
                  <c:v>0</c:v>
                </c:pt>
                <c:pt idx="10">
                  <c:v>1</c:v>
                </c:pt>
                <c:pt idx="11">
                  <c:v>0</c:v>
                </c:pt>
                <c:pt idx="12">
                  <c:v>1</c:v>
                </c:pt>
              </c:numCache>
            </c:numRef>
          </c:val>
          <c:extLst>
            <c:ext xmlns:c16="http://schemas.microsoft.com/office/drawing/2014/chart" uri="{C3380CC4-5D6E-409C-BE32-E72D297353CC}">
              <c16:uniqueId val="{00000001-6C48-4E40-A651-07B5A24ECF73}"/>
            </c:ext>
          </c:extLst>
        </c:ser>
        <c:dLbls>
          <c:showLegendKey val="0"/>
          <c:showVal val="0"/>
          <c:showCatName val="0"/>
          <c:showSerName val="0"/>
          <c:showPercent val="0"/>
          <c:showBubbleSize val="0"/>
        </c:dLbls>
        <c:gapWidth val="219"/>
        <c:overlap val="-27"/>
        <c:axId val="948959439"/>
        <c:axId val="948948399"/>
      </c:barChart>
      <c:catAx>
        <c:axId val="94895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948399"/>
        <c:crosses val="autoZero"/>
        <c:auto val="1"/>
        <c:lblAlgn val="ctr"/>
        <c:lblOffset val="100"/>
        <c:noMultiLvlLbl val="0"/>
      </c:catAx>
      <c:valAx>
        <c:axId val="9489483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Shooting</a:t>
                </a:r>
                <a:r>
                  <a:rPr lang="en-GB" baseline="0"/>
                  <a:t> efficiency</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95943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TABLES!PivotTable15</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Fast</a:t>
            </a:r>
            <a:r>
              <a:rPr lang="en-GB" baseline="0"/>
              <a:t> Break - Key Contributors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2"/>
          </a:solidFill>
          <a:ln w="19050">
            <a:solidFill>
              <a:schemeClr val="lt1"/>
            </a:solidFill>
          </a:ln>
          <a:effectLst/>
        </c:spPr>
      </c:pivotFmt>
    </c:pivotFmts>
    <c:plotArea>
      <c:layout/>
      <c:pieChart>
        <c:varyColors val="1"/>
        <c:ser>
          <c:idx val="0"/>
          <c:order val="0"/>
          <c:tx>
            <c:strRef>
              <c:f>'PIVOT TABLES'!$T$4</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5469-46F6-864F-333AD0054BF8}"/>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5469-46F6-864F-333AD0054BF8}"/>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5469-46F6-864F-333AD0054BF8}"/>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5469-46F6-864F-333AD0054BF8}"/>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39F5-4076-8A67-677F5B01C88E}"/>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39F5-4076-8A67-677F5B01C88E}"/>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39F5-4076-8A67-677F5B01C88E}"/>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39F5-4076-8A67-677F5B01C88E}"/>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39F5-4076-8A67-677F5B01C88E}"/>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3-39F5-4076-8A67-677F5B01C88E}"/>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5-39F5-4076-8A67-677F5B01C88E}"/>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17-39F5-4076-8A67-677F5B01C88E}"/>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19-39F5-4076-8A67-677F5B01C88E}"/>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TABLES'!$S$5:$S$18</c:f>
              <c:strCache>
                <c:ptCount val="13"/>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strCache>
            </c:strRef>
          </c:cat>
          <c:val>
            <c:numRef>
              <c:f>'PIVOT TABLES'!$T$5:$T$18</c:f>
              <c:numCache>
                <c:formatCode>General</c:formatCode>
                <c:ptCount val="13"/>
                <c:pt idx="0">
                  <c:v>1</c:v>
                </c:pt>
                <c:pt idx="1">
                  <c:v>0</c:v>
                </c:pt>
                <c:pt idx="2">
                  <c:v>3</c:v>
                </c:pt>
                <c:pt idx="3">
                  <c:v>0</c:v>
                </c:pt>
                <c:pt idx="4">
                  <c:v>0</c:v>
                </c:pt>
                <c:pt idx="5">
                  <c:v>1</c:v>
                </c:pt>
                <c:pt idx="6">
                  <c:v>2</c:v>
                </c:pt>
                <c:pt idx="7">
                  <c:v>0</c:v>
                </c:pt>
                <c:pt idx="8">
                  <c:v>0</c:v>
                </c:pt>
                <c:pt idx="9">
                  <c:v>0</c:v>
                </c:pt>
                <c:pt idx="10">
                  <c:v>0</c:v>
                </c:pt>
                <c:pt idx="11">
                  <c:v>0</c:v>
                </c:pt>
                <c:pt idx="12">
                  <c:v>0</c:v>
                </c:pt>
              </c:numCache>
            </c:numRef>
          </c:val>
          <c:extLst>
            <c:ext xmlns:c16="http://schemas.microsoft.com/office/drawing/2014/chart" uri="{C3380CC4-5D6E-409C-BE32-E72D297353CC}">
              <c16:uniqueId val="{00000008-5469-46F6-864F-333AD0054BF8}"/>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TABLES!PivotTable11</c:name>
    <c:fmtId val="20"/>
  </c:pivotSource>
  <c:chart>
    <c:title>
      <c:tx>
        <c:rich>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r>
              <a:rPr lang="en-GB" sz="3600"/>
              <a:t>Number</a:t>
            </a:r>
            <a:r>
              <a:rPr lang="en-GB" sz="3600" baseline="0"/>
              <a:t> of PF drawn and assists made by players for CNAB</a:t>
            </a:r>
            <a:endParaRPr lang="en-GB" sz="3600"/>
          </a:p>
        </c:rich>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TABLES'!$D$153</c:f>
              <c:strCache>
                <c:ptCount val="1"/>
                <c:pt idx="0">
                  <c:v>Sum of PF DRAWN (TOTAL)</c:v>
                </c:pt>
              </c:strCache>
            </c:strRef>
          </c:tx>
          <c:spPr>
            <a:solidFill>
              <a:schemeClr val="accent2"/>
            </a:solidFill>
            <a:ln>
              <a:noFill/>
            </a:ln>
            <a:effectLst/>
          </c:spPr>
          <c:invertIfNegative val="0"/>
          <c:cat>
            <c:multiLvlStrRef>
              <c:f>'PIVOT TABLES'!$C$154:$C$181</c:f>
              <c:multiLvlStrCache>
                <c:ptCount val="25"/>
                <c:lvl>
                  <c:pt idx="0">
                    <c:v>Alberto Munarriz 23</c:v>
                  </c:pt>
                  <c:pt idx="1">
                    <c:v>Alejandro Bustos 23</c:v>
                  </c:pt>
                  <c:pt idx="2">
                    <c:v>Bernat Sanahuja 23</c:v>
                  </c:pt>
                  <c:pt idx="3">
                    <c:v>Felipe Perrone 23</c:v>
                  </c:pt>
                  <c:pt idx="4">
                    <c:v>Ivan Domagoj Zovic 23</c:v>
                  </c:pt>
                  <c:pt idx="5">
                    <c:v>Luke Pavillard 23</c:v>
                  </c:pt>
                  <c:pt idx="6">
                    <c:v>Marc Larumbe 23</c:v>
                  </c:pt>
                  <c:pt idx="7">
                    <c:v>Martin Famera 23</c:v>
                  </c:pt>
                  <c:pt idx="8">
                    <c:v>Miguel de Toro 23</c:v>
                  </c:pt>
                  <c:pt idx="9">
                    <c:v>Nikolas Paul Garcia 23</c:v>
                  </c:pt>
                  <c:pt idx="10">
                    <c:v>Roger Tahull 23</c:v>
                  </c:pt>
                  <c:pt idx="11">
                    <c:v>Unai Biel 23</c:v>
                  </c:pt>
                  <c:pt idx="12">
                    <c:v>Alberto Munarriz 24</c:v>
                  </c:pt>
                  <c:pt idx="13">
                    <c:v>Alejandro Bustos 24</c:v>
                  </c:pt>
                  <c:pt idx="14">
                    <c:v>Alvaro Granados 24</c:v>
                  </c:pt>
                  <c:pt idx="15">
                    <c:v>Bernat Sanahuja 24</c:v>
                  </c:pt>
                  <c:pt idx="16">
                    <c:v>Biel Gomila 24</c:v>
                  </c:pt>
                  <c:pt idx="17">
                    <c:v>Felipe Perrone 24</c:v>
                  </c:pt>
                  <c:pt idx="18">
                    <c:v>Gergely Burian 24</c:v>
                  </c:pt>
                  <c:pt idx="19">
                    <c:v>Marc Valls Ferrer 24</c:v>
                  </c:pt>
                  <c:pt idx="20">
                    <c:v>Martin Famera 24</c:v>
                  </c:pt>
                  <c:pt idx="21">
                    <c:v>Roger Tahull 24</c:v>
                  </c:pt>
                  <c:pt idx="22">
                    <c:v>Unai Biel 24</c:v>
                  </c:pt>
                  <c:pt idx="23">
                    <c:v>Unai Lema 24</c:v>
                  </c:pt>
                  <c:pt idx="24">
                    <c:v>Vince Vigvari 24</c:v>
                  </c:pt>
                </c:lvl>
                <c:lvl>
                  <c:pt idx="0">
                    <c:v>2023</c:v>
                  </c:pt>
                  <c:pt idx="12">
                    <c:v>2024</c:v>
                  </c:pt>
                </c:lvl>
              </c:multiLvlStrCache>
            </c:multiLvlStrRef>
          </c:cat>
          <c:val>
            <c:numRef>
              <c:f>'PIVOT TABLES'!$D$154:$D$181</c:f>
              <c:numCache>
                <c:formatCode>General</c:formatCode>
                <c:ptCount val="25"/>
                <c:pt idx="0">
                  <c:v>8</c:v>
                </c:pt>
                <c:pt idx="1">
                  <c:v>3</c:v>
                </c:pt>
                <c:pt idx="2">
                  <c:v>0</c:v>
                </c:pt>
                <c:pt idx="3">
                  <c:v>2</c:v>
                </c:pt>
                <c:pt idx="4">
                  <c:v>1</c:v>
                </c:pt>
                <c:pt idx="5">
                  <c:v>1</c:v>
                </c:pt>
                <c:pt idx="6">
                  <c:v>1</c:v>
                </c:pt>
                <c:pt idx="7">
                  <c:v>4</c:v>
                </c:pt>
                <c:pt idx="8">
                  <c:v>26</c:v>
                </c:pt>
                <c:pt idx="9">
                  <c:v>0</c:v>
                </c:pt>
                <c:pt idx="10">
                  <c:v>33</c:v>
                </c:pt>
                <c:pt idx="11">
                  <c:v>1</c:v>
                </c:pt>
                <c:pt idx="12">
                  <c:v>3</c:v>
                </c:pt>
                <c:pt idx="13">
                  <c:v>11</c:v>
                </c:pt>
                <c:pt idx="14">
                  <c:v>4</c:v>
                </c:pt>
                <c:pt idx="15">
                  <c:v>3</c:v>
                </c:pt>
                <c:pt idx="16">
                  <c:v>1</c:v>
                </c:pt>
                <c:pt idx="17">
                  <c:v>1</c:v>
                </c:pt>
                <c:pt idx="18">
                  <c:v>2</c:v>
                </c:pt>
                <c:pt idx="19">
                  <c:v>0</c:v>
                </c:pt>
                <c:pt idx="20">
                  <c:v>3</c:v>
                </c:pt>
                <c:pt idx="21">
                  <c:v>16</c:v>
                </c:pt>
                <c:pt idx="22">
                  <c:v>3</c:v>
                </c:pt>
                <c:pt idx="23">
                  <c:v>0</c:v>
                </c:pt>
                <c:pt idx="24">
                  <c:v>6</c:v>
                </c:pt>
              </c:numCache>
            </c:numRef>
          </c:val>
          <c:extLst>
            <c:ext xmlns:c16="http://schemas.microsoft.com/office/drawing/2014/chart" uri="{C3380CC4-5D6E-409C-BE32-E72D297353CC}">
              <c16:uniqueId val="{00000000-EE46-499A-A6FE-DA4CCC7B82DE}"/>
            </c:ext>
          </c:extLst>
        </c:ser>
        <c:ser>
          <c:idx val="1"/>
          <c:order val="1"/>
          <c:tx>
            <c:strRef>
              <c:f>'PIVOT TABLES'!$E$153</c:f>
              <c:strCache>
                <c:ptCount val="1"/>
                <c:pt idx="0">
                  <c:v>Sum of ASSISTS (TOTAL)</c:v>
                </c:pt>
              </c:strCache>
            </c:strRef>
          </c:tx>
          <c:spPr>
            <a:solidFill>
              <a:schemeClr val="accent4"/>
            </a:solidFill>
            <a:ln>
              <a:noFill/>
            </a:ln>
            <a:effectLst/>
          </c:spPr>
          <c:invertIfNegative val="0"/>
          <c:cat>
            <c:multiLvlStrRef>
              <c:f>'PIVOT TABLES'!$C$154:$C$181</c:f>
              <c:multiLvlStrCache>
                <c:ptCount val="25"/>
                <c:lvl>
                  <c:pt idx="0">
                    <c:v>Alberto Munarriz 23</c:v>
                  </c:pt>
                  <c:pt idx="1">
                    <c:v>Alejandro Bustos 23</c:v>
                  </c:pt>
                  <c:pt idx="2">
                    <c:v>Bernat Sanahuja 23</c:v>
                  </c:pt>
                  <c:pt idx="3">
                    <c:v>Felipe Perrone 23</c:v>
                  </c:pt>
                  <c:pt idx="4">
                    <c:v>Ivan Domagoj Zovic 23</c:v>
                  </c:pt>
                  <c:pt idx="5">
                    <c:v>Luke Pavillard 23</c:v>
                  </c:pt>
                  <c:pt idx="6">
                    <c:v>Marc Larumbe 23</c:v>
                  </c:pt>
                  <c:pt idx="7">
                    <c:v>Martin Famera 23</c:v>
                  </c:pt>
                  <c:pt idx="8">
                    <c:v>Miguel de Toro 23</c:v>
                  </c:pt>
                  <c:pt idx="9">
                    <c:v>Nikolas Paul Garcia 23</c:v>
                  </c:pt>
                  <c:pt idx="10">
                    <c:v>Roger Tahull 23</c:v>
                  </c:pt>
                  <c:pt idx="11">
                    <c:v>Unai Biel 23</c:v>
                  </c:pt>
                  <c:pt idx="12">
                    <c:v>Alberto Munarriz 24</c:v>
                  </c:pt>
                  <c:pt idx="13">
                    <c:v>Alejandro Bustos 24</c:v>
                  </c:pt>
                  <c:pt idx="14">
                    <c:v>Alvaro Granados 24</c:v>
                  </c:pt>
                  <c:pt idx="15">
                    <c:v>Bernat Sanahuja 24</c:v>
                  </c:pt>
                  <c:pt idx="16">
                    <c:v>Biel Gomila 24</c:v>
                  </c:pt>
                  <c:pt idx="17">
                    <c:v>Felipe Perrone 24</c:v>
                  </c:pt>
                  <c:pt idx="18">
                    <c:v>Gergely Burian 24</c:v>
                  </c:pt>
                  <c:pt idx="19">
                    <c:v>Marc Valls Ferrer 24</c:v>
                  </c:pt>
                  <c:pt idx="20">
                    <c:v>Martin Famera 24</c:v>
                  </c:pt>
                  <c:pt idx="21">
                    <c:v>Roger Tahull 24</c:v>
                  </c:pt>
                  <c:pt idx="22">
                    <c:v>Unai Biel 24</c:v>
                  </c:pt>
                  <c:pt idx="23">
                    <c:v>Unai Lema 24</c:v>
                  </c:pt>
                  <c:pt idx="24">
                    <c:v>Vince Vigvari 24</c:v>
                  </c:pt>
                </c:lvl>
                <c:lvl>
                  <c:pt idx="0">
                    <c:v>2023</c:v>
                  </c:pt>
                  <c:pt idx="12">
                    <c:v>2024</c:v>
                  </c:pt>
                </c:lvl>
              </c:multiLvlStrCache>
            </c:multiLvlStrRef>
          </c:cat>
          <c:val>
            <c:numRef>
              <c:f>'PIVOT TABLES'!$E$154:$E$181</c:f>
              <c:numCache>
                <c:formatCode>General</c:formatCode>
                <c:ptCount val="25"/>
                <c:pt idx="0">
                  <c:v>12</c:v>
                </c:pt>
                <c:pt idx="1">
                  <c:v>1</c:v>
                </c:pt>
                <c:pt idx="2">
                  <c:v>7</c:v>
                </c:pt>
                <c:pt idx="3">
                  <c:v>10</c:v>
                </c:pt>
                <c:pt idx="4">
                  <c:v>6</c:v>
                </c:pt>
                <c:pt idx="5">
                  <c:v>3</c:v>
                </c:pt>
                <c:pt idx="6">
                  <c:v>5</c:v>
                </c:pt>
                <c:pt idx="7">
                  <c:v>2</c:v>
                </c:pt>
                <c:pt idx="8">
                  <c:v>0</c:v>
                </c:pt>
                <c:pt idx="9">
                  <c:v>1</c:v>
                </c:pt>
                <c:pt idx="10">
                  <c:v>1</c:v>
                </c:pt>
                <c:pt idx="11">
                  <c:v>1</c:v>
                </c:pt>
                <c:pt idx="12">
                  <c:v>18</c:v>
                </c:pt>
                <c:pt idx="13">
                  <c:v>0</c:v>
                </c:pt>
                <c:pt idx="14">
                  <c:v>6</c:v>
                </c:pt>
                <c:pt idx="15">
                  <c:v>9</c:v>
                </c:pt>
                <c:pt idx="16">
                  <c:v>0</c:v>
                </c:pt>
                <c:pt idx="17">
                  <c:v>9</c:v>
                </c:pt>
                <c:pt idx="18">
                  <c:v>4</c:v>
                </c:pt>
                <c:pt idx="19">
                  <c:v>1</c:v>
                </c:pt>
                <c:pt idx="20">
                  <c:v>1</c:v>
                </c:pt>
                <c:pt idx="21">
                  <c:v>0</c:v>
                </c:pt>
                <c:pt idx="22">
                  <c:v>6</c:v>
                </c:pt>
                <c:pt idx="23">
                  <c:v>0</c:v>
                </c:pt>
                <c:pt idx="24">
                  <c:v>7</c:v>
                </c:pt>
              </c:numCache>
            </c:numRef>
          </c:val>
          <c:extLst>
            <c:ext xmlns:c16="http://schemas.microsoft.com/office/drawing/2014/chart" uri="{C3380CC4-5D6E-409C-BE32-E72D297353CC}">
              <c16:uniqueId val="{00000001-EE46-499A-A6FE-DA4CCC7B82DE}"/>
            </c:ext>
          </c:extLst>
        </c:ser>
        <c:dLbls>
          <c:showLegendKey val="0"/>
          <c:showVal val="0"/>
          <c:showCatName val="0"/>
          <c:showSerName val="0"/>
          <c:showPercent val="0"/>
          <c:showBubbleSize val="0"/>
        </c:dLbls>
        <c:gapWidth val="219"/>
        <c:overlap val="-27"/>
        <c:axId val="1122147552"/>
        <c:axId val="1122153312"/>
      </c:barChart>
      <c:catAx>
        <c:axId val="112214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2153312"/>
        <c:crosses val="autoZero"/>
        <c:auto val="1"/>
        <c:lblAlgn val="ctr"/>
        <c:lblOffset val="100"/>
        <c:noMultiLvlLbl val="0"/>
      </c:catAx>
      <c:valAx>
        <c:axId val="1122153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Number</a:t>
                </a:r>
                <a:r>
                  <a:rPr lang="en-GB" sz="2000" baseline="0"/>
                  <a:t> of actions</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21475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TABLES!PivotTable4</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Defensive</a:t>
            </a:r>
            <a:r>
              <a:rPr lang="en-GB" baseline="0"/>
              <a:t> contributions of CNAB players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TABLES'!$O$57</c:f>
              <c:strCache>
                <c:ptCount val="1"/>
                <c:pt idx="0">
                  <c:v>Sum of STEALS (TOTAL)</c:v>
                </c:pt>
              </c:strCache>
            </c:strRef>
          </c:tx>
          <c:spPr>
            <a:solidFill>
              <a:schemeClr val="accent1"/>
            </a:solidFill>
            <a:ln>
              <a:noFill/>
            </a:ln>
            <a:effectLst/>
          </c:spPr>
          <c:invertIfNegative val="0"/>
          <c:cat>
            <c:multiLvlStrRef>
              <c:f>'PIVOT TABLES'!$N$58:$N$72</c:f>
              <c:multiLvlStrCache>
                <c:ptCount val="13"/>
                <c:lvl>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lvl>
                <c:lvl>
                  <c:pt idx="0">
                    <c:v>2024</c:v>
                  </c:pt>
                </c:lvl>
              </c:multiLvlStrCache>
            </c:multiLvlStrRef>
          </c:cat>
          <c:val>
            <c:numRef>
              <c:f>'PIVOT TABLES'!$O$58:$O$72</c:f>
              <c:numCache>
                <c:formatCode>General</c:formatCode>
                <c:ptCount val="13"/>
                <c:pt idx="0">
                  <c:v>0</c:v>
                </c:pt>
                <c:pt idx="1">
                  <c:v>5</c:v>
                </c:pt>
                <c:pt idx="2">
                  <c:v>4</c:v>
                </c:pt>
                <c:pt idx="3">
                  <c:v>4</c:v>
                </c:pt>
                <c:pt idx="4">
                  <c:v>2</c:v>
                </c:pt>
                <c:pt idx="5">
                  <c:v>7</c:v>
                </c:pt>
                <c:pt idx="6">
                  <c:v>4</c:v>
                </c:pt>
                <c:pt idx="7">
                  <c:v>0</c:v>
                </c:pt>
                <c:pt idx="8">
                  <c:v>2</c:v>
                </c:pt>
                <c:pt idx="9">
                  <c:v>0</c:v>
                </c:pt>
                <c:pt idx="10">
                  <c:v>3</c:v>
                </c:pt>
                <c:pt idx="11">
                  <c:v>1</c:v>
                </c:pt>
                <c:pt idx="12">
                  <c:v>0</c:v>
                </c:pt>
              </c:numCache>
            </c:numRef>
          </c:val>
          <c:extLst>
            <c:ext xmlns:c16="http://schemas.microsoft.com/office/drawing/2014/chart" uri="{C3380CC4-5D6E-409C-BE32-E72D297353CC}">
              <c16:uniqueId val="{00000000-E66E-4753-A037-959C5F3C458C}"/>
            </c:ext>
          </c:extLst>
        </c:ser>
        <c:ser>
          <c:idx val="1"/>
          <c:order val="1"/>
          <c:tx>
            <c:strRef>
              <c:f>'PIVOT TABLES'!$P$57</c:f>
              <c:strCache>
                <c:ptCount val="1"/>
                <c:pt idx="0">
                  <c:v>Sum of BLOCKS (TOTAL)</c:v>
                </c:pt>
              </c:strCache>
            </c:strRef>
          </c:tx>
          <c:spPr>
            <a:solidFill>
              <a:schemeClr val="accent2"/>
            </a:solidFill>
            <a:ln>
              <a:noFill/>
            </a:ln>
            <a:effectLst/>
          </c:spPr>
          <c:invertIfNegative val="0"/>
          <c:cat>
            <c:multiLvlStrRef>
              <c:f>'PIVOT TABLES'!$N$58:$N$72</c:f>
              <c:multiLvlStrCache>
                <c:ptCount val="13"/>
                <c:lvl>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lvl>
                <c:lvl>
                  <c:pt idx="0">
                    <c:v>2024</c:v>
                  </c:pt>
                </c:lvl>
              </c:multiLvlStrCache>
            </c:multiLvlStrRef>
          </c:cat>
          <c:val>
            <c:numRef>
              <c:f>'PIVOT TABLES'!$P$58:$P$72</c:f>
              <c:numCache>
                <c:formatCode>General</c:formatCode>
                <c:ptCount val="13"/>
                <c:pt idx="0">
                  <c:v>1</c:v>
                </c:pt>
                <c:pt idx="1">
                  <c:v>4</c:v>
                </c:pt>
                <c:pt idx="2">
                  <c:v>2</c:v>
                </c:pt>
                <c:pt idx="3">
                  <c:v>2</c:v>
                </c:pt>
                <c:pt idx="4">
                  <c:v>0</c:v>
                </c:pt>
                <c:pt idx="5">
                  <c:v>4</c:v>
                </c:pt>
                <c:pt idx="6">
                  <c:v>2</c:v>
                </c:pt>
                <c:pt idx="7">
                  <c:v>1</c:v>
                </c:pt>
                <c:pt idx="8">
                  <c:v>2</c:v>
                </c:pt>
                <c:pt idx="9">
                  <c:v>0</c:v>
                </c:pt>
                <c:pt idx="10">
                  <c:v>5</c:v>
                </c:pt>
                <c:pt idx="11">
                  <c:v>0</c:v>
                </c:pt>
                <c:pt idx="12">
                  <c:v>2</c:v>
                </c:pt>
              </c:numCache>
            </c:numRef>
          </c:val>
          <c:extLst>
            <c:ext xmlns:c16="http://schemas.microsoft.com/office/drawing/2014/chart" uri="{C3380CC4-5D6E-409C-BE32-E72D297353CC}">
              <c16:uniqueId val="{00000001-E66E-4753-A037-959C5F3C458C}"/>
            </c:ext>
          </c:extLst>
        </c:ser>
        <c:dLbls>
          <c:showLegendKey val="0"/>
          <c:showVal val="0"/>
          <c:showCatName val="0"/>
          <c:showSerName val="0"/>
          <c:showPercent val="0"/>
          <c:showBubbleSize val="0"/>
        </c:dLbls>
        <c:gapWidth val="219"/>
        <c:overlap val="-27"/>
        <c:axId val="632605791"/>
        <c:axId val="626780719"/>
      </c:barChart>
      <c:catAx>
        <c:axId val="632605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780719"/>
        <c:crosses val="autoZero"/>
        <c:auto val="1"/>
        <c:lblAlgn val="ctr"/>
        <c:lblOffset val="100"/>
        <c:noMultiLvlLbl val="0"/>
      </c:catAx>
      <c:valAx>
        <c:axId val="6267807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Number</a:t>
                </a:r>
                <a:r>
                  <a:rPr lang="en-GB" baseline="0"/>
                  <a:t> of actions</a:t>
                </a:r>
                <a:endParaRPr lang="en-GB"/>
              </a:p>
            </c:rich>
          </c:tx>
          <c:layout>
            <c:manualLayout>
              <c:xMode val="edge"/>
              <c:yMode val="edge"/>
              <c:x val="0.11723298715214778"/>
              <c:y val="0.2682882998178406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60579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TABLES!PivotTable10</c:name>
    <c:fmtId val="2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TABLES'!$B$102</c:f>
              <c:strCache>
                <c:ptCount val="1"/>
                <c:pt idx="0">
                  <c:v>Sum of STEALS (TOTAL)</c:v>
                </c:pt>
              </c:strCache>
            </c:strRef>
          </c:tx>
          <c:spPr>
            <a:solidFill>
              <a:schemeClr val="accent1"/>
            </a:solidFill>
            <a:ln>
              <a:noFill/>
            </a:ln>
            <a:effectLst/>
          </c:spPr>
          <c:invertIfNegative val="0"/>
          <c:cat>
            <c:multiLvlStrRef>
              <c:f>'PIVOT TABLES'!$A$103:$A$117</c:f>
              <c:multiLvlStrCache>
                <c:ptCount val="13"/>
                <c:lvl>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lvl>
                <c:lvl>
                  <c:pt idx="0">
                    <c:v>2024</c:v>
                  </c:pt>
                </c:lvl>
              </c:multiLvlStrCache>
            </c:multiLvlStrRef>
          </c:cat>
          <c:val>
            <c:numRef>
              <c:f>'PIVOT TABLES'!$B$103:$B$117</c:f>
              <c:numCache>
                <c:formatCode>General</c:formatCode>
                <c:ptCount val="13"/>
                <c:pt idx="0">
                  <c:v>0</c:v>
                </c:pt>
                <c:pt idx="1">
                  <c:v>5</c:v>
                </c:pt>
                <c:pt idx="2">
                  <c:v>4</c:v>
                </c:pt>
                <c:pt idx="3">
                  <c:v>4</c:v>
                </c:pt>
                <c:pt idx="4">
                  <c:v>2</c:v>
                </c:pt>
                <c:pt idx="5">
                  <c:v>7</c:v>
                </c:pt>
                <c:pt idx="6">
                  <c:v>4</c:v>
                </c:pt>
                <c:pt idx="7">
                  <c:v>0</c:v>
                </c:pt>
                <c:pt idx="8">
                  <c:v>2</c:v>
                </c:pt>
                <c:pt idx="9">
                  <c:v>0</c:v>
                </c:pt>
                <c:pt idx="10">
                  <c:v>3</c:v>
                </c:pt>
                <c:pt idx="11">
                  <c:v>1</c:v>
                </c:pt>
                <c:pt idx="12">
                  <c:v>0</c:v>
                </c:pt>
              </c:numCache>
            </c:numRef>
          </c:val>
          <c:extLst>
            <c:ext xmlns:c16="http://schemas.microsoft.com/office/drawing/2014/chart" uri="{C3380CC4-5D6E-409C-BE32-E72D297353CC}">
              <c16:uniqueId val="{00000000-D36E-4E9D-888E-1CD9FBBCFD1A}"/>
            </c:ext>
          </c:extLst>
        </c:ser>
        <c:ser>
          <c:idx val="1"/>
          <c:order val="1"/>
          <c:tx>
            <c:strRef>
              <c:f>'PIVOT TABLES'!$C$102</c:f>
              <c:strCache>
                <c:ptCount val="1"/>
                <c:pt idx="0">
                  <c:v>Sum of BLOCKS (TOTAL)</c:v>
                </c:pt>
              </c:strCache>
            </c:strRef>
          </c:tx>
          <c:spPr>
            <a:solidFill>
              <a:schemeClr val="accent2"/>
            </a:solidFill>
            <a:ln>
              <a:noFill/>
            </a:ln>
            <a:effectLst/>
          </c:spPr>
          <c:invertIfNegative val="0"/>
          <c:cat>
            <c:multiLvlStrRef>
              <c:f>'PIVOT TABLES'!$A$103:$A$117</c:f>
              <c:multiLvlStrCache>
                <c:ptCount val="13"/>
                <c:lvl>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lvl>
                <c:lvl>
                  <c:pt idx="0">
                    <c:v>2024</c:v>
                  </c:pt>
                </c:lvl>
              </c:multiLvlStrCache>
            </c:multiLvlStrRef>
          </c:cat>
          <c:val>
            <c:numRef>
              <c:f>'PIVOT TABLES'!$C$103:$C$117</c:f>
              <c:numCache>
                <c:formatCode>General</c:formatCode>
                <c:ptCount val="13"/>
                <c:pt idx="0">
                  <c:v>1</c:v>
                </c:pt>
                <c:pt idx="1">
                  <c:v>4</c:v>
                </c:pt>
                <c:pt idx="2">
                  <c:v>2</c:v>
                </c:pt>
                <c:pt idx="3">
                  <c:v>2</c:v>
                </c:pt>
                <c:pt idx="4">
                  <c:v>0</c:v>
                </c:pt>
                <c:pt idx="5">
                  <c:v>4</c:v>
                </c:pt>
                <c:pt idx="6">
                  <c:v>2</c:v>
                </c:pt>
                <c:pt idx="7">
                  <c:v>1</c:v>
                </c:pt>
                <c:pt idx="8">
                  <c:v>2</c:v>
                </c:pt>
                <c:pt idx="9">
                  <c:v>0</c:v>
                </c:pt>
                <c:pt idx="10">
                  <c:v>5</c:v>
                </c:pt>
                <c:pt idx="11">
                  <c:v>0</c:v>
                </c:pt>
                <c:pt idx="12">
                  <c:v>2</c:v>
                </c:pt>
              </c:numCache>
            </c:numRef>
          </c:val>
          <c:extLst>
            <c:ext xmlns:c16="http://schemas.microsoft.com/office/drawing/2014/chart" uri="{C3380CC4-5D6E-409C-BE32-E72D297353CC}">
              <c16:uniqueId val="{00000001-D36E-4E9D-888E-1CD9FBBCFD1A}"/>
            </c:ext>
          </c:extLst>
        </c:ser>
        <c:dLbls>
          <c:showLegendKey val="0"/>
          <c:showVal val="0"/>
          <c:showCatName val="0"/>
          <c:showSerName val="0"/>
          <c:showPercent val="0"/>
          <c:showBubbleSize val="0"/>
        </c:dLbls>
        <c:gapWidth val="219"/>
        <c:overlap val="-27"/>
        <c:axId val="1107294976"/>
        <c:axId val="1107274336"/>
      </c:barChart>
      <c:catAx>
        <c:axId val="110729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274336"/>
        <c:crosses val="autoZero"/>
        <c:auto val="1"/>
        <c:lblAlgn val="ctr"/>
        <c:lblOffset val="100"/>
        <c:noMultiLvlLbl val="0"/>
      </c:catAx>
      <c:valAx>
        <c:axId val="1107274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294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 2!PivotTable13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Number</a:t>
            </a:r>
            <a:r>
              <a:rPr lang="en-GB" baseline="0"/>
              <a:t> of times players waste possession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2'!$B$3</c:f>
              <c:strCache>
                <c:ptCount val="1"/>
                <c:pt idx="0">
                  <c:v>Sum of BALLS LOST (TOTAL)</c:v>
                </c:pt>
              </c:strCache>
            </c:strRef>
          </c:tx>
          <c:spPr>
            <a:solidFill>
              <a:schemeClr val="accent2"/>
            </a:solidFill>
            <a:ln>
              <a:noFill/>
            </a:ln>
            <a:effectLst/>
          </c:spPr>
          <c:invertIfNegative val="0"/>
          <c:cat>
            <c:strRef>
              <c:f>'PIVOT TABLE 2'!$A$4:$A$20</c:f>
              <c:strCache>
                <c:ptCount val="16"/>
                <c:pt idx="0">
                  <c:v>Alberto Munarriz 24</c:v>
                </c:pt>
                <c:pt idx="1">
                  <c:v>Alejandro Bustos 24</c:v>
                </c:pt>
                <c:pt idx="2">
                  <c:v>Alvaro Granados 24</c:v>
                </c:pt>
                <c:pt idx="3">
                  <c:v>Bernat Sanahuja 24</c:v>
                </c:pt>
                <c:pt idx="4">
                  <c:v>Biel Gomila 24</c:v>
                </c:pt>
                <c:pt idx="5">
                  <c:v>Bruno Delmas 24</c:v>
                </c:pt>
                <c:pt idx="6">
                  <c:v>Felipe Perrone 24</c:v>
                </c:pt>
                <c:pt idx="7">
                  <c:v>Gergely Burian 24</c:v>
                </c:pt>
                <c:pt idx="8">
                  <c:v>Marc Valls Ferrer 24</c:v>
                </c:pt>
                <c:pt idx="9">
                  <c:v>Martin Famera 24</c:v>
                </c:pt>
                <c:pt idx="10">
                  <c:v>Nic Porter 24</c:v>
                </c:pt>
                <c:pt idx="11">
                  <c:v>Roger Tahull 24</c:v>
                </c:pt>
                <c:pt idx="12">
                  <c:v>Unai Aguirre 24</c:v>
                </c:pt>
                <c:pt idx="13">
                  <c:v>Unai Biel 24</c:v>
                </c:pt>
                <c:pt idx="14">
                  <c:v>Unai Lema 24</c:v>
                </c:pt>
                <c:pt idx="15">
                  <c:v>Vince Vigvari 24</c:v>
                </c:pt>
              </c:strCache>
            </c:strRef>
          </c:cat>
          <c:val>
            <c:numRef>
              <c:f>'PIVOT TABLE 2'!$B$4:$B$20</c:f>
              <c:numCache>
                <c:formatCode>General</c:formatCode>
                <c:ptCount val="16"/>
                <c:pt idx="0">
                  <c:v>4</c:v>
                </c:pt>
                <c:pt idx="1">
                  <c:v>1</c:v>
                </c:pt>
                <c:pt idx="2">
                  <c:v>7</c:v>
                </c:pt>
                <c:pt idx="3">
                  <c:v>0</c:v>
                </c:pt>
                <c:pt idx="4">
                  <c:v>0</c:v>
                </c:pt>
                <c:pt idx="5">
                  <c:v>0</c:v>
                </c:pt>
                <c:pt idx="6">
                  <c:v>6</c:v>
                </c:pt>
                <c:pt idx="7">
                  <c:v>2</c:v>
                </c:pt>
                <c:pt idx="8">
                  <c:v>0</c:v>
                </c:pt>
                <c:pt idx="9">
                  <c:v>0</c:v>
                </c:pt>
                <c:pt idx="10">
                  <c:v>0</c:v>
                </c:pt>
                <c:pt idx="11">
                  <c:v>1</c:v>
                </c:pt>
                <c:pt idx="12">
                  <c:v>1</c:v>
                </c:pt>
                <c:pt idx="13">
                  <c:v>0</c:v>
                </c:pt>
                <c:pt idx="14">
                  <c:v>0</c:v>
                </c:pt>
                <c:pt idx="15">
                  <c:v>3</c:v>
                </c:pt>
              </c:numCache>
            </c:numRef>
          </c:val>
          <c:extLst>
            <c:ext xmlns:c16="http://schemas.microsoft.com/office/drawing/2014/chart" uri="{C3380CC4-5D6E-409C-BE32-E72D297353CC}">
              <c16:uniqueId val="{00000000-C581-478D-BBA6-A08AA8C5A1A4}"/>
            </c:ext>
          </c:extLst>
        </c:ser>
        <c:ser>
          <c:idx val="1"/>
          <c:order val="1"/>
          <c:tx>
            <c:strRef>
              <c:f>'PIVOT TABLE 2'!$C$3</c:f>
              <c:strCache>
                <c:ptCount val="1"/>
                <c:pt idx="0">
                  <c:v>Sum of OFFENSIVE FOULS (TOTAL)</c:v>
                </c:pt>
              </c:strCache>
            </c:strRef>
          </c:tx>
          <c:spPr>
            <a:solidFill>
              <a:schemeClr val="accent4"/>
            </a:solidFill>
            <a:ln>
              <a:noFill/>
            </a:ln>
            <a:effectLst/>
          </c:spPr>
          <c:invertIfNegative val="0"/>
          <c:cat>
            <c:strRef>
              <c:f>'PIVOT TABLE 2'!$A$4:$A$20</c:f>
              <c:strCache>
                <c:ptCount val="16"/>
                <c:pt idx="0">
                  <c:v>Alberto Munarriz 24</c:v>
                </c:pt>
                <c:pt idx="1">
                  <c:v>Alejandro Bustos 24</c:v>
                </c:pt>
                <c:pt idx="2">
                  <c:v>Alvaro Granados 24</c:v>
                </c:pt>
                <c:pt idx="3">
                  <c:v>Bernat Sanahuja 24</c:v>
                </c:pt>
                <c:pt idx="4">
                  <c:v>Biel Gomila 24</c:v>
                </c:pt>
                <c:pt idx="5">
                  <c:v>Bruno Delmas 24</c:v>
                </c:pt>
                <c:pt idx="6">
                  <c:v>Felipe Perrone 24</c:v>
                </c:pt>
                <c:pt idx="7">
                  <c:v>Gergely Burian 24</c:v>
                </c:pt>
                <c:pt idx="8">
                  <c:v>Marc Valls Ferrer 24</c:v>
                </c:pt>
                <c:pt idx="9">
                  <c:v>Martin Famera 24</c:v>
                </c:pt>
                <c:pt idx="10">
                  <c:v>Nic Porter 24</c:v>
                </c:pt>
                <c:pt idx="11">
                  <c:v>Roger Tahull 24</c:v>
                </c:pt>
                <c:pt idx="12">
                  <c:v>Unai Aguirre 24</c:v>
                </c:pt>
                <c:pt idx="13">
                  <c:v>Unai Biel 24</c:v>
                </c:pt>
                <c:pt idx="14">
                  <c:v>Unai Lema 24</c:v>
                </c:pt>
                <c:pt idx="15">
                  <c:v>Vince Vigvari 24</c:v>
                </c:pt>
              </c:strCache>
            </c:strRef>
          </c:cat>
          <c:val>
            <c:numRef>
              <c:f>'PIVOT TABLE 2'!$C$4:$C$20</c:f>
              <c:numCache>
                <c:formatCode>General</c:formatCode>
                <c:ptCount val="16"/>
                <c:pt idx="0">
                  <c:v>0</c:v>
                </c:pt>
                <c:pt idx="1">
                  <c:v>5</c:v>
                </c:pt>
                <c:pt idx="2">
                  <c:v>2</c:v>
                </c:pt>
                <c:pt idx="3">
                  <c:v>2</c:v>
                </c:pt>
                <c:pt idx="4">
                  <c:v>0</c:v>
                </c:pt>
                <c:pt idx="5">
                  <c:v>0</c:v>
                </c:pt>
                <c:pt idx="6">
                  <c:v>1</c:v>
                </c:pt>
                <c:pt idx="7">
                  <c:v>0</c:v>
                </c:pt>
                <c:pt idx="8">
                  <c:v>2</c:v>
                </c:pt>
                <c:pt idx="9">
                  <c:v>1</c:v>
                </c:pt>
                <c:pt idx="10">
                  <c:v>0</c:v>
                </c:pt>
                <c:pt idx="11">
                  <c:v>3</c:v>
                </c:pt>
                <c:pt idx="12">
                  <c:v>0</c:v>
                </c:pt>
                <c:pt idx="13">
                  <c:v>0</c:v>
                </c:pt>
                <c:pt idx="14">
                  <c:v>0</c:v>
                </c:pt>
                <c:pt idx="15">
                  <c:v>1</c:v>
                </c:pt>
              </c:numCache>
            </c:numRef>
          </c:val>
          <c:extLst>
            <c:ext xmlns:c16="http://schemas.microsoft.com/office/drawing/2014/chart" uri="{C3380CC4-5D6E-409C-BE32-E72D297353CC}">
              <c16:uniqueId val="{00000001-C581-478D-BBA6-A08AA8C5A1A4}"/>
            </c:ext>
          </c:extLst>
        </c:ser>
        <c:ser>
          <c:idx val="2"/>
          <c:order val="2"/>
          <c:tx>
            <c:strRef>
              <c:f>'PIVOT TABLE 2'!$D$3</c:f>
              <c:strCache>
                <c:ptCount val="1"/>
                <c:pt idx="0">
                  <c:v>Sum of PERSONAL FOULS (TOTAL)</c:v>
                </c:pt>
              </c:strCache>
            </c:strRef>
          </c:tx>
          <c:spPr>
            <a:solidFill>
              <a:schemeClr val="accent6"/>
            </a:solidFill>
            <a:ln>
              <a:noFill/>
            </a:ln>
            <a:effectLst/>
          </c:spPr>
          <c:invertIfNegative val="0"/>
          <c:cat>
            <c:strRef>
              <c:f>'PIVOT TABLE 2'!$A$4:$A$20</c:f>
              <c:strCache>
                <c:ptCount val="16"/>
                <c:pt idx="0">
                  <c:v>Alberto Munarriz 24</c:v>
                </c:pt>
                <c:pt idx="1">
                  <c:v>Alejandro Bustos 24</c:v>
                </c:pt>
                <c:pt idx="2">
                  <c:v>Alvaro Granados 24</c:v>
                </c:pt>
                <c:pt idx="3">
                  <c:v>Bernat Sanahuja 24</c:v>
                </c:pt>
                <c:pt idx="4">
                  <c:v>Biel Gomila 24</c:v>
                </c:pt>
                <c:pt idx="5">
                  <c:v>Bruno Delmas 24</c:v>
                </c:pt>
                <c:pt idx="6">
                  <c:v>Felipe Perrone 24</c:v>
                </c:pt>
                <c:pt idx="7">
                  <c:v>Gergely Burian 24</c:v>
                </c:pt>
                <c:pt idx="8">
                  <c:v>Marc Valls Ferrer 24</c:v>
                </c:pt>
                <c:pt idx="9">
                  <c:v>Martin Famera 24</c:v>
                </c:pt>
                <c:pt idx="10">
                  <c:v>Nic Porter 24</c:v>
                </c:pt>
                <c:pt idx="11">
                  <c:v>Roger Tahull 24</c:v>
                </c:pt>
                <c:pt idx="12">
                  <c:v>Unai Aguirre 24</c:v>
                </c:pt>
                <c:pt idx="13">
                  <c:v>Unai Biel 24</c:v>
                </c:pt>
                <c:pt idx="14">
                  <c:v>Unai Lema 24</c:v>
                </c:pt>
                <c:pt idx="15">
                  <c:v>Vince Vigvari 24</c:v>
                </c:pt>
              </c:strCache>
            </c:strRef>
          </c:cat>
          <c:val>
            <c:numRef>
              <c:f>'PIVOT TABLE 2'!$D$4:$D$20</c:f>
              <c:numCache>
                <c:formatCode>General</c:formatCode>
                <c:ptCount val="16"/>
                <c:pt idx="0">
                  <c:v>4</c:v>
                </c:pt>
                <c:pt idx="1">
                  <c:v>5</c:v>
                </c:pt>
                <c:pt idx="2">
                  <c:v>4</c:v>
                </c:pt>
                <c:pt idx="3">
                  <c:v>7</c:v>
                </c:pt>
                <c:pt idx="4">
                  <c:v>3</c:v>
                </c:pt>
                <c:pt idx="5">
                  <c:v>0</c:v>
                </c:pt>
                <c:pt idx="6">
                  <c:v>3</c:v>
                </c:pt>
                <c:pt idx="7">
                  <c:v>6</c:v>
                </c:pt>
                <c:pt idx="8">
                  <c:v>2</c:v>
                </c:pt>
                <c:pt idx="9">
                  <c:v>8</c:v>
                </c:pt>
                <c:pt idx="10">
                  <c:v>0</c:v>
                </c:pt>
                <c:pt idx="11">
                  <c:v>2</c:v>
                </c:pt>
                <c:pt idx="12">
                  <c:v>0</c:v>
                </c:pt>
                <c:pt idx="13">
                  <c:v>4</c:v>
                </c:pt>
                <c:pt idx="14">
                  <c:v>1</c:v>
                </c:pt>
                <c:pt idx="15">
                  <c:v>10</c:v>
                </c:pt>
              </c:numCache>
            </c:numRef>
          </c:val>
          <c:extLst>
            <c:ext xmlns:c16="http://schemas.microsoft.com/office/drawing/2014/chart" uri="{C3380CC4-5D6E-409C-BE32-E72D297353CC}">
              <c16:uniqueId val="{00000002-C581-478D-BBA6-A08AA8C5A1A4}"/>
            </c:ext>
          </c:extLst>
        </c:ser>
        <c:dLbls>
          <c:showLegendKey val="0"/>
          <c:showVal val="0"/>
          <c:showCatName val="0"/>
          <c:showSerName val="0"/>
          <c:showPercent val="0"/>
          <c:showBubbleSize val="0"/>
        </c:dLbls>
        <c:gapWidth val="219"/>
        <c:overlap val="100"/>
        <c:axId val="1116553551"/>
        <c:axId val="1116553071"/>
      </c:barChart>
      <c:catAx>
        <c:axId val="1116553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553071"/>
        <c:crosses val="autoZero"/>
        <c:auto val="1"/>
        <c:lblAlgn val="ctr"/>
        <c:lblOffset val="100"/>
        <c:noMultiLvlLbl val="0"/>
      </c:catAx>
      <c:valAx>
        <c:axId val="1116553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Number of actions</a:t>
                </a:r>
              </a:p>
            </c:rich>
          </c:tx>
          <c:layout>
            <c:manualLayout>
              <c:xMode val="edge"/>
              <c:yMode val="edge"/>
              <c:x val="2.0845288769826362E-2"/>
              <c:y val="0.285950167916143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553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(Recovered).xlsb]PIVOT TABLES!PivotTable12</c:name>
    <c:fmtId val="2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GB"/>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TABLES'!$B$199</c:f>
              <c:strCache>
                <c:ptCount val="1"/>
                <c:pt idx="0">
                  <c:v>Sum of OFFENSIVE FOULS (TOTAL)2</c:v>
                </c:pt>
              </c:strCache>
            </c:strRef>
          </c:tx>
          <c:spPr>
            <a:solidFill>
              <a:schemeClr val="accent1"/>
            </a:solidFill>
            <a:ln>
              <a:noFill/>
            </a:ln>
            <a:effectLst/>
          </c:spPr>
          <c:invertIfNegative val="0"/>
          <c:cat>
            <c:multiLvlStrRef>
              <c:f>'PIVOT TABLES'!$A$200:$A$214</c:f>
              <c:multiLvlStrCache>
                <c:ptCount val="13"/>
                <c:lvl>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lvl>
                <c:lvl>
                  <c:pt idx="0">
                    <c:v>2024</c:v>
                  </c:pt>
                </c:lvl>
              </c:multiLvlStrCache>
            </c:multiLvlStrRef>
          </c:cat>
          <c:val>
            <c:numRef>
              <c:f>'PIVOT TABLES'!$B$200:$B$214</c:f>
              <c:numCache>
                <c:formatCode>General</c:formatCode>
                <c:ptCount val="13"/>
                <c:pt idx="0">
                  <c:v>0</c:v>
                </c:pt>
                <c:pt idx="1">
                  <c:v>5</c:v>
                </c:pt>
                <c:pt idx="2">
                  <c:v>2</c:v>
                </c:pt>
                <c:pt idx="3">
                  <c:v>2</c:v>
                </c:pt>
                <c:pt idx="4">
                  <c:v>0</c:v>
                </c:pt>
                <c:pt idx="5">
                  <c:v>1</c:v>
                </c:pt>
                <c:pt idx="6">
                  <c:v>0</c:v>
                </c:pt>
                <c:pt idx="7">
                  <c:v>2</c:v>
                </c:pt>
                <c:pt idx="8">
                  <c:v>1</c:v>
                </c:pt>
                <c:pt idx="9">
                  <c:v>3</c:v>
                </c:pt>
                <c:pt idx="10">
                  <c:v>0</c:v>
                </c:pt>
                <c:pt idx="11">
                  <c:v>0</c:v>
                </c:pt>
                <c:pt idx="12">
                  <c:v>1</c:v>
                </c:pt>
              </c:numCache>
            </c:numRef>
          </c:val>
          <c:extLst>
            <c:ext xmlns:c16="http://schemas.microsoft.com/office/drawing/2014/chart" uri="{C3380CC4-5D6E-409C-BE32-E72D297353CC}">
              <c16:uniqueId val="{00000000-A204-48F9-8E56-B557CA4570E5}"/>
            </c:ext>
          </c:extLst>
        </c:ser>
        <c:ser>
          <c:idx val="1"/>
          <c:order val="1"/>
          <c:tx>
            <c:strRef>
              <c:f>'PIVOT TABLES'!$C$199</c:f>
              <c:strCache>
                <c:ptCount val="1"/>
                <c:pt idx="0">
                  <c:v>Sum of BALLS LOST (TOTAL)</c:v>
                </c:pt>
              </c:strCache>
            </c:strRef>
          </c:tx>
          <c:spPr>
            <a:solidFill>
              <a:schemeClr val="accent2"/>
            </a:solidFill>
            <a:ln>
              <a:noFill/>
            </a:ln>
            <a:effectLst/>
          </c:spPr>
          <c:invertIfNegative val="0"/>
          <c:cat>
            <c:multiLvlStrRef>
              <c:f>'PIVOT TABLES'!$A$200:$A$214</c:f>
              <c:multiLvlStrCache>
                <c:ptCount val="13"/>
                <c:lvl>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lvl>
                <c:lvl>
                  <c:pt idx="0">
                    <c:v>2024</c:v>
                  </c:pt>
                </c:lvl>
              </c:multiLvlStrCache>
            </c:multiLvlStrRef>
          </c:cat>
          <c:val>
            <c:numRef>
              <c:f>'PIVOT TABLES'!$C$200:$C$214</c:f>
              <c:numCache>
                <c:formatCode>General</c:formatCode>
                <c:ptCount val="13"/>
                <c:pt idx="0">
                  <c:v>4</c:v>
                </c:pt>
                <c:pt idx="1">
                  <c:v>1</c:v>
                </c:pt>
                <c:pt idx="2">
                  <c:v>7</c:v>
                </c:pt>
                <c:pt idx="3">
                  <c:v>0</c:v>
                </c:pt>
                <c:pt idx="4">
                  <c:v>0</c:v>
                </c:pt>
                <c:pt idx="5">
                  <c:v>6</c:v>
                </c:pt>
                <c:pt idx="6">
                  <c:v>2</c:v>
                </c:pt>
                <c:pt idx="7">
                  <c:v>0</c:v>
                </c:pt>
                <c:pt idx="8">
                  <c:v>0</c:v>
                </c:pt>
                <c:pt idx="9">
                  <c:v>1</c:v>
                </c:pt>
                <c:pt idx="10">
                  <c:v>0</c:v>
                </c:pt>
                <c:pt idx="11">
                  <c:v>0</c:v>
                </c:pt>
                <c:pt idx="12">
                  <c:v>3</c:v>
                </c:pt>
              </c:numCache>
            </c:numRef>
          </c:val>
          <c:extLst>
            <c:ext xmlns:c16="http://schemas.microsoft.com/office/drawing/2014/chart" uri="{C3380CC4-5D6E-409C-BE32-E72D297353CC}">
              <c16:uniqueId val="{00000001-A204-48F9-8E56-B557CA4570E5}"/>
            </c:ext>
          </c:extLst>
        </c:ser>
        <c:ser>
          <c:idx val="2"/>
          <c:order val="2"/>
          <c:tx>
            <c:strRef>
              <c:f>'PIVOT TABLES'!$D$199</c:f>
              <c:strCache>
                <c:ptCount val="1"/>
                <c:pt idx="0">
                  <c:v>Sum of PERSONAL FOULS (TOTAL)</c:v>
                </c:pt>
              </c:strCache>
            </c:strRef>
          </c:tx>
          <c:spPr>
            <a:solidFill>
              <a:schemeClr val="accent3"/>
            </a:solidFill>
            <a:ln>
              <a:noFill/>
            </a:ln>
            <a:effectLst/>
          </c:spPr>
          <c:invertIfNegative val="0"/>
          <c:cat>
            <c:multiLvlStrRef>
              <c:f>'PIVOT TABLES'!$A$200:$A$214</c:f>
              <c:multiLvlStrCache>
                <c:ptCount val="13"/>
                <c:lvl>
                  <c:pt idx="0">
                    <c:v>Alberto Munarriz 24</c:v>
                  </c:pt>
                  <c:pt idx="1">
                    <c:v>Alejandro Bustos 24</c:v>
                  </c:pt>
                  <c:pt idx="2">
                    <c:v>Alvaro Granados 24</c:v>
                  </c:pt>
                  <c:pt idx="3">
                    <c:v>Bernat Sanahuja 24</c:v>
                  </c:pt>
                  <c:pt idx="4">
                    <c:v>Biel Gomila 24</c:v>
                  </c:pt>
                  <c:pt idx="5">
                    <c:v>Felipe Perrone 24</c:v>
                  </c:pt>
                  <c:pt idx="6">
                    <c:v>Gergely Burian 24</c:v>
                  </c:pt>
                  <c:pt idx="7">
                    <c:v>Marc Valls Ferrer 24</c:v>
                  </c:pt>
                  <c:pt idx="8">
                    <c:v>Martin Famera 24</c:v>
                  </c:pt>
                  <c:pt idx="9">
                    <c:v>Roger Tahull 24</c:v>
                  </c:pt>
                  <c:pt idx="10">
                    <c:v>Unai Biel 24</c:v>
                  </c:pt>
                  <c:pt idx="11">
                    <c:v>Unai Lema 24</c:v>
                  </c:pt>
                  <c:pt idx="12">
                    <c:v>Vince Vigvari 24</c:v>
                  </c:pt>
                </c:lvl>
                <c:lvl>
                  <c:pt idx="0">
                    <c:v>2024</c:v>
                  </c:pt>
                </c:lvl>
              </c:multiLvlStrCache>
            </c:multiLvlStrRef>
          </c:cat>
          <c:val>
            <c:numRef>
              <c:f>'PIVOT TABLES'!$D$200:$D$214</c:f>
              <c:numCache>
                <c:formatCode>General</c:formatCode>
                <c:ptCount val="13"/>
                <c:pt idx="0">
                  <c:v>4</c:v>
                </c:pt>
                <c:pt idx="1">
                  <c:v>5</c:v>
                </c:pt>
                <c:pt idx="2">
                  <c:v>4</c:v>
                </c:pt>
                <c:pt idx="3">
                  <c:v>7</c:v>
                </c:pt>
                <c:pt idx="4">
                  <c:v>3</c:v>
                </c:pt>
                <c:pt idx="5">
                  <c:v>3</c:v>
                </c:pt>
                <c:pt idx="6">
                  <c:v>6</c:v>
                </c:pt>
                <c:pt idx="7">
                  <c:v>2</c:v>
                </c:pt>
                <c:pt idx="8">
                  <c:v>8</c:v>
                </c:pt>
                <c:pt idx="9">
                  <c:v>2</c:v>
                </c:pt>
                <c:pt idx="10">
                  <c:v>4</c:v>
                </c:pt>
                <c:pt idx="11">
                  <c:v>1</c:v>
                </c:pt>
                <c:pt idx="12">
                  <c:v>10</c:v>
                </c:pt>
              </c:numCache>
            </c:numRef>
          </c:val>
          <c:extLst>
            <c:ext xmlns:c16="http://schemas.microsoft.com/office/drawing/2014/chart" uri="{C3380CC4-5D6E-409C-BE32-E72D297353CC}">
              <c16:uniqueId val="{00000002-A204-48F9-8E56-B557CA4570E5}"/>
            </c:ext>
          </c:extLst>
        </c:ser>
        <c:dLbls>
          <c:showLegendKey val="0"/>
          <c:showVal val="0"/>
          <c:showCatName val="0"/>
          <c:showSerName val="0"/>
          <c:showPercent val="0"/>
          <c:showBubbleSize val="0"/>
        </c:dLbls>
        <c:gapWidth val="219"/>
        <c:overlap val="-27"/>
        <c:axId val="1107300736"/>
        <c:axId val="1107301216"/>
      </c:barChart>
      <c:catAx>
        <c:axId val="110730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301216"/>
        <c:crosses val="autoZero"/>
        <c:auto val="1"/>
        <c:lblAlgn val="ctr"/>
        <c:lblOffset val="100"/>
        <c:noMultiLvlLbl val="0"/>
      </c:catAx>
      <c:valAx>
        <c:axId val="1107301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300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(Recovered).xlsb]Sheet5!PivotTable4</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Granados</a:t>
            </a:r>
            <a:r>
              <a:rPr lang="en-GB" baseline="0"/>
              <a:t> - Goals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Sum of ACTION GOALS (PP)</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Sheet5!$A$4:$A$6</c:f>
              <c:strCache>
                <c:ptCount val="2"/>
                <c:pt idx="0">
                  <c:v>Alvaro Granados 23</c:v>
                </c:pt>
                <c:pt idx="1">
                  <c:v>(en blanco)</c:v>
                </c:pt>
              </c:strCache>
            </c:strRef>
          </c:cat>
          <c:val>
            <c:numRef>
              <c:f>Sheet5!$B$4:$B$6</c:f>
              <c:numCache>
                <c:formatCode>0.00</c:formatCode>
                <c:ptCount val="2"/>
                <c:pt idx="0">
                  <c:v>1.3333333333333333</c:v>
                </c:pt>
                <c:pt idx="1">
                  <c:v>1.2</c:v>
                </c:pt>
              </c:numCache>
            </c:numRef>
          </c:val>
          <c:extLst>
            <c:ext xmlns:c16="http://schemas.microsoft.com/office/drawing/2014/chart" uri="{C3380CC4-5D6E-409C-BE32-E72D297353CC}">
              <c16:uniqueId val="{00000000-5884-418B-9556-5424B64F0583}"/>
            </c:ext>
          </c:extLst>
        </c:ser>
        <c:ser>
          <c:idx val="1"/>
          <c:order val="1"/>
          <c:tx>
            <c:strRef>
              <c:f>Sheet5!$C$3</c:f>
              <c:strCache>
                <c:ptCount val="1"/>
                <c:pt idx="0">
                  <c:v>Sum of DIRECT FOUL GOALS (PP)</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Sheet5!$A$4:$A$6</c:f>
              <c:strCache>
                <c:ptCount val="2"/>
                <c:pt idx="0">
                  <c:v>Alvaro Granados 23</c:v>
                </c:pt>
                <c:pt idx="1">
                  <c:v>(en blanco)</c:v>
                </c:pt>
              </c:strCache>
            </c:strRef>
          </c:cat>
          <c:val>
            <c:numRef>
              <c:f>Sheet5!$C$4:$C$6</c:f>
              <c:numCache>
                <c:formatCode>0.00</c:formatCode>
                <c:ptCount val="2"/>
                <c:pt idx="0">
                  <c:v>0</c:v>
                </c:pt>
                <c:pt idx="1">
                  <c:v>0.2</c:v>
                </c:pt>
              </c:numCache>
            </c:numRef>
          </c:val>
          <c:extLst>
            <c:ext xmlns:c16="http://schemas.microsoft.com/office/drawing/2014/chart" uri="{C3380CC4-5D6E-409C-BE32-E72D297353CC}">
              <c16:uniqueId val="{00000001-5884-418B-9556-5424B64F0583}"/>
            </c:ext>
          </c:extLst>
        </c:ser>
        <c:ser>
          <c:idx val="2"/>
          <c:order val="2"/>
          <c:tx>
            <c:strRef>
              <c:f>Sheet5!$D$3</c:f>
              <c:strCache>
                <c:ptCount val="1"/>
                <c:pt idx="0">
                  <c:v>Sum of POWERPLAY GOALS (PP)</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Sheet5!$A$4:$A$6</c:f>
              <c:strCache>
                <c:ptCount val="2"/>
                <c:pt idx="0">
                  <c:v>Alvaro Granados 23</c:v>
                </c:pt>
                <c:pt idx="1">
                  <c:v>(en blanco)</c:v>
                </c:pt>
              </c:strCache>
            </c:strRef>
          </c:cat>
          <c:val>
            <c:numRef>
              <c:f>Sheet5!$D$4:$D$6</c:f>
              <c:numCache>
                <c:formatCode>0.00</c:formatCode>
                <c:ptCount val="2"/>
                <c:pt idx="0">
                  <c:v>1.3333333333333333</c:v>
                </c:pt>
                <c:pt idx="1">
                  <c:v>1.6</c:v>
                </c:pt>
              </c:numCache>
            </c:numRef>
          </c:val>
          <c:extLst>
            <c:ext xmlns:c16="http://schemas.microsoft.com/office/drawing/2014/chart" uri="{C3380CC4-5D6E-409C-BE32-E72D297353CC}">
              <c16:uniqueId val="{00000002-5884-418B-9556-5424B64F0583}"/>
            </c:ext>
          </c:extLst>
        </c:ser>
        <c:ser>
          <c:idx val="3"/>
          <c:order val="3"/>
          <c:tx>
            <c:strRef>
              <c:f>Sheet5!$E$3</c:f>
              <c:strCache>
                <c:ptCount val="1"/>
                <c:pt idx="0">
                  <c:v>Sum of PENALTY GOALS (PP)</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Sheet5!$A$4:$A$6</c:f>
              <c:strCache>
                <c:ptCount val="2"/>
                <c:pt idx="0">
                  <c:v>Alvaro Granados 23</c:v>
                </c:pt>
                <c:pt idx="1">
                  <c:v>(en blanco)</c:v>
                </c:pt>
              </c:strCache>
            </c:strRef>
          </c:cat>
          <c:val>
            <c:numRef>
              <c:f>Sheet5!$E$4:$E$6</c:f>
              <c:numCache>
                <c:formatCode>0.00</c:formatCode>
                <c:ptCount val="2"/>
                <c:pt idx="0">
                  <c:v>1</c:v>
                </c:pt>
                <c:pt idx="1">
                  <c:v>0.4</c:v>
                </c:pt>
              </c:numCache>
            </c:numRef>
          </c:val>
          <c:extLst>
            <c:ext xmlns:c16="http://schemas.microsoft.com/office/drawing/2014/chart" uri="{C3380CC4-5D6E-409C-BE32-E72D297353CC}">
              <c16:uniqueId val="{00000003-5884-418B-9556-5424B64F0583}"/>
            </c:ext>
          </c:extLst>
        </c:ser>
        <c:ser>
          <c:idx val="4"/>
          <c:order val="4"/>
          <c:tx>
            <c:strRef>
              <c:f>Sheet5!$F$3</c:f>
              <c:strCache>
                <c:ptCount val="1"/>
                <c:pt idx="0">
                  <c:v>Sum of FAST BREAK GOALS (PP)</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Sheet5!$A$4:$A$6</c:f>
              <c:strCache>
                <c:ptCount val="2"/>
                <c:pt idx="0">
                  <c:v>Alvaro Granados 23</c:v>
                </c:pt>
                <c:pt idx="1">
                  <c:v>(en blanco)</c:v>
                </c:pt>
              </c:strCache>
            </c:strRef>
          </c:cat>
          <c:val>
            <c:numRef>
              <c:f>Sheet5!$F$4:$F$6</c:f>
              <c:numCache>
                <c:formatCode>0.00</c:formatCode>
                <c:ptCount val="2"/>
                <c:pt idx="0">
                  <c:v>0.16666666666666666</c:v>
                </c:pt>
                <c:pt idx="1">
                  <c:v>0.6</c:v>
                </c:pt>
              </c:numCache>
            </c:numRef>
          </c:val>
          <c:extLst>
            <c:ext xmlns:c16="http://schemas.microsoft.com/office/drawing/2014/chart" uri="{C3380CC4-5D6E-409C-BE32-E72D297353CC}">
              <c16:uniqueId val="{00000004-5884-418B-9556-5424B64F0583}"/>
            </c:ext>
          </c:extLst>
        </c:ser>
        <c:dLbls>
          <c:dLblPos val="outEnd"/>
          <c:showLegendKey val="0"/>
          <c:showVal val="1"/>
          <c:showCatName val="0"/>
          <c:showSerName val="0"/>
          <c:showPercent val="0"/>
          <c:showBubbleSize val="0"/>
        </c:dLbls>
        <c:gapWidth val="219"/>
        <c:overlap val="-27"/>
        <c:axId val="1149170736"/>
        <c:axId val="1149169776"/>
      </c:barChart>
      <c:catAx>
        <c:axId val="114917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9169776"/>
        <c:crosses val="autoZero"/>
        <c:auto val="1"/>
        <c:lblAlgn val="ctr"/>
        <c:lblOffset val="100"/>
        <c:noMultiLvlLbl val="0"/>
      </c:catAx>
      <c:valAx>
        <c:axId val="1149169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Occurence</a:t>
                </a:r>
                <a:r>
                  <a:rPr lang="en-GB" baseline="0"/>
                  <a:t> per match</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9170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(Recovered).xlsb]Sheet5!PivotTable1</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Granados</a:t>
            </a:r>
            <a:r>
              <a:rPr lang="en-GB" baseline="0"/>
              <a:t> - other actions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Sheet5!$B$31</c:f>
              <c:strCache>
                <c:ptCount val="1"/>
                <c:pt idx="0">
                  <c:v>Sum of ASSISTS (PP)</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Sheet5!$A$32:$A$34</c:f>
              <c:strCache>
                <c:ptCount val="2"/>
                <c:pt idx="0">
                  <c:v>Alvaro Granados 23</c:v>
                </c:pt>
                <c:pt idx="1">
                  <c:v>(en blanco)</c:v>
                </c:pt>
              </c:strCache>
            </c:strRef>
          </c:cat>
          <c:val>
            <c:numRef>
              <c:f>Sheet5!$B$32:$B$34</c:f>
              <c:numCache>
                <c:formatCode>0.00</c:formatCode>
                <c:ptCount val="2"/>
                <c:pt idx="0">
                  <c:v>1.8333333333333333</c:v>
                </c:pt>
                <c:pt idx="1">
                  <c:v>1.2</c:v>
                </c:pt>
              </c:numCache>
            </c:numRef>
          </c:val>
          <c:extLst>
            <c:ext xmlns:c16="http://schemas.microsoft.com/office/drawing/2014/chart" uri="{C3380CC4-5D6E-409C-BE32-E72D297353CC}">
              <c16:uniqueId val="{00000000-BBFE-43C5-A690-21CA032573FE}"/>
            </c:ext>
          </c:extLst>
        </c:ser>
        <c:ser>
          <c:idx val="1"/>
          <c:order val="1"/>
          <c:tx>
            <c:strRef>
              <c:f>Sheet5!$C$31</c:f>
              <c:strCache>
                <c:ptCount val="1"/>
                <c:pt idx="0">
                  <c:v>Sum of PF DRAWN (PP)</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Sheet5!$A$32:$A$34</c:f>
              <c:strCache>
                <c:ptCount val="2"/>
                <c:pt idx="0">
                  <c:v>Alvaro Granados 23</c:v>
                </c:pt>
                <c:pt idx="1">
                  <c:v>(en blanco)</c:v>
                </c:pt>
              </c:strCache>
            </c:strRef>
          </c:cat>
          <c:val>
            <c:numRef>
              <c:f>Sheet5!$C$32:$C$34</c:f>
              <c:numCache>
                <c:formatCode>0.00</c:formatCode>
                <c:ptCount val="2"/>
                <c:pt idx="0">
                  <c:v>1.1666666666666667</c:v>
                </c:pt>
                <c:pt idx="1">
                  <c:v>0.8</c:v>
                </c:pt>
              </c:numCache>
            </c:numRef>
          </c:val>
          <c:extLst>
            <c:ext xmlns:c16="http://schemas.microsoft.com/office/drawing/2014/chart" uri="{C3380CC4-5D6E-409C-BE32-E72D297353CC}">
              <c16:uniqueId val="{00000001-BBFE-43C5-A690-21CA032573FE}"/>
            </c:ext>
          </c:extLst>
        </c:ser>
        <c:ser>
          <c:idx val="2"/>
          <c:order val="2"/>
          <c:tx>
            <c:strRef>
              <c:f>Sheet5!$D$31</c:f>
              <c:strCache>
                <c:ptCount val="1"/>
                <c:pt idx="0">
                  <c:v>Sum of STEALS (PP)</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Sheet5!$A$32:$A$34</c:f>
              <c:strCache>
                <c:ptCount val="2"/>
                <c:pt idx="0">
                  <c:v>Alvaro Granados 23</c:v>
                </c:pt>
                <c:pt idx="1">
                  <c:v>(en blanco)</c:v>
                </c:pt>
              </c:strCache>
            </c:strRef>
          </c:cat>
          <c:val>
            <c:numRef>
              <c:f>Sheet5!$D$32:$D$34</c:f>
              <c:numCache>
                <c:formatCode>0.00</c:formatCode>
                <c:ptCount val="2"/>
                <c:pt idx="0">
                  <c:v>0.83333333333333337</c:v>
                </c:pt>
                <c:pt idx="1">
                  <c:v>0.8</c:v>
                </c:pt>
              </c:numCache>
            </c:numRef>
          </c:val>
          <c:extLst>
            <c:ext xmlns:c16="http://schemas.microsoft.com/office/drawing/2014/chart" uri="{C3380CC4-5D6E-409C-BE32-E72D297353CC}">
              <c16:uniqueId val="{00000002-BBFE-43C5-A690-21CA032573FE}"/>
            </c:ext>
          </c:extLst>
        </c:ser>
        <c:ser>
          <c:idx val="3"/>
          <c:order val="3"/>
          <c:tx>
            <c:strRef>
              <c:f>Sheet5!$E$31</c:f>
              <c:strCache>
                <c:ptCount val="1"/>
                <c:pt idx="0">
                  <c:v>Sum of BLOCKS (PP)</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Sheet5!$A$32:$A$34</c:f>
              <c:strCache>
                <c:ptCount val="2"/>
                <c:pt idx="0">
                  <c:v>Alvaro Granados 23</c:v>
                </c:pt>
                <c:pt idx="1">
                  <c:v>(en blanco)</c:v>
                </c:pt>
              </c:strCache>
            </c:strRef>
          </c:cat>
          <c:val>
            <c:numRef>
              <c:f>Sheet5!$E$32:$E$34</c:f>
              <c:numCache>
                <c:formatCode>0.00</c:formatCode>
                <c:ptCount val="2"/>
                <c:pt idx="0">
                  <c:v>0.33333333333333331</c:v>
                </c:pt>
                <c:pt idx="1">
                  <c:v>0.4</c:v>
                </c:pt>
              </c:numCache>
            </c:numRef>
          </c:val>
          <c:extLst>
            <c:ext xmlns:c16="http://schemas.microsoft.com/office/drawing/2014/chart" uri="{C3380CC4-5D6E-409C-BE32-E72D297353CC}">
              <c16:uniqueId val="{00000003-BBFE-43C5-A690-21CA032573FE}"/>
            </c:ext>
          </c:extLst>
        </c:ser>
        <c:ser>
          <c:idx val="4"/>
          <c:order val="4"/>
          <c:tx>
            <c:strRef>
              <c:f>Sheet5!$F$31</c:f>
              <c:strCache>
                <c:ptCount val="1"/>
                <c:pt idx="0">
                  <c:v>Sum of PERSONAL FOULS (PP)</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Sheet5!$A$32:$A$34</c:f>
              <c:strCache>
                <c:ptCount val="2"/>
                <c:pt idx="0">
                  <c:v>Alvaro Granados 23</c:v>
                </c:pt>
                <c:pt idx="1">
                  <c:v>(en blanco)</c:v>
                </c:pt>
              </c:strCache>
            </c:strRef>
          </c:cat>
          <c:val>
            <c:numRef>
              <c:f>Sheet5!$F$32:$F$34</c:f>
              <c:numCache>
                <c:formatCode>0.00</c:formatCode>
                <c:ptCount val="2"/>
                <c:pt idx="0">
                  <c:v>1.3333333333333333</c:v>
                </c:pt>
                <c:pt idx="1">
                  <c:v>0.8</c:v>
                </c:pt>
              </c:numCache>
            </c:numRef>
          </c:val>
          <c:extLst>
            <c:ext xmlns:c16="http://schemas.microsoft.com/office/drawing/2014/chart" uri="{C3380CC4-5D6E-409C-BE32-E72D297353CC}">
              <c16:uniqueId val="{00000004-BBFE-43C5-A690-21CA032573FE}"/>
            </c:ext>
          </c:extLst>
        </c:ser>
        <c:ser>
          <c:idx val="5"/>
          <c:order val="5"/>
          <c:tx>
            <c:strRef>
              <c:f>Sheet5!$G$31</c:f>
              <c:strCache>
                <c:ptCount val="1"/>
                <c:pt idx="0">
                  <c:v>Sum of BALLS LOST (PP)</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Sheet5!$A$32:$A$34</c:f>
              <c:strCache>
                <c:ptCount val="2"/>
                <c:pt idx="0">
                  <c:v>Alvaro Granados 23</c:v>
                </c:pt>
                <c:pt idx="1">
                  <c:v>(en blanco)</c:v>
                </c:pt>
              </c:strCache>
            </c:strRef>
          </c:cat>
          <c:val>
            <c:numRef>
              <c:f>Sheet5!$G$32:$G$34</c:f>
              <c:numCache>
                <c:formatCode>0.00</c:formatCode>
                <c:ptCount val="2"/>
                <c:pt idx="0">
                  <c:v>0.83333333333333337</c:v>
                </c:pt>
                <c:pt idx="1">
                  <c:v>1.4</c:v>
                </c:pt>
              </c:numCache>
            </c:numRef>
          </c:val>
          <c:extLst>
            <c:ext xmlns:c16="http://schemas.microsoft.com/office/drawing/2014/chart" uri="{C3380CC4-5D6E-409C-BE32-E72D297353CC}">
              <c16:uniqueId val="{00000005-BBFE-43C5-A690-21CA032573FE}"/>
            </c:ext>
          </c:extLst>
        </c:ser>
        <c:ser>
          <c:idx val="6"/>
          <c:order val="6"/>
          <c:tx>
            <c:strRef>
              <c:f>Sheet5!$H$31</c:f>
              <c:strCache>
                <c:ptCount val="1"/>
                <c:pt idx="0">
                  <c:v>Sum of OFFENSIVE FOULS (PP)</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Sheet5!$A$32:$A$34</c:f>
              <c:strCache>
                <c:ptCount val="2"/>
                <c:pt idx="0">
                  <c:v>Alvaro Granados 23</c:v>
                </c:pt>
                <c:pt idx="1">
                  <c:v>(en blanco)</c:v>
                </c:pt>
              </c:strCache>
            </c:strRef>
          </c:cat>
          <c:val>
            <c:numRef>
              <c:f>Sheet5!$H$32:$H$34</c:f>
              <c:numCache>
                <c:formatCode>0.00</c:formatCode>
                <c:ptCount val="2"/>
                <c:pt idx="0">
                  <c:v>0.33333333333333331</c:v>
                </c:pt>
                <c:pt idx="1">
                  <c:v>0.4</c:v>
                </c:pt>
              </c:numCache>
            </c:numRef>
          </c:val>
          <c:extLst>
            <c:ext xmlns:c16="http://schemas.microsoft.com/office/drawing/2014/chart" uri="{C3380CC4-5D6E-409C-BE32-E72D297353CC}">
              <c16:uniqueId val="{00000006-BBFE-43C5-A690-21CA032573FE}"/>
            </c:ext>
          </c:extLst>
        </c:ser>
        <c:dLbls>
          <c:dLblPos val="outEnd"/>
          <c:showLegendKey val="0"/>
          <c:showVal val="1"/>
          <c:showCatName val="0"/>
          <c:showSerName val="0"/>
          <c:showPercent val="0"/>
          <c:showBubbleSize val="0"/>
        </c:dLbls>
        <c:gapWidth val="219"/>
        <c:overlap val="-27"/>
        <c:axId val="1196706080"/>
        <c:axId val="1196706560"/>
      </c:barChart>
      <c:catAx>
        <c:axId val="119670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706560"/>
        <c:crosses val="autoZero"/>
        <c:auto val="1"/>
        <c:lblAlgn val="ctr"/>
        <c:lblOffset val="100"/>
        <c:noMultiLvlLbl val="0"/>
      </c:catAx>
      <c:valAx>
        <c:axId val="1196706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Occurence</a:t>
                </a:r>
                <a:r>
                  <a:rPr lang="en-GB" baseline="0"/>
                  <a:t> per match</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706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[CNAB^120ANALYSIS^1202024 (Recovered).xlsb]Sheet5!PivotTable3</c:name>
    <c:fmtId val="2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solidFill>
          <a:ln w="19050">
            <a:solidFill>
              <a:schemeClr val="lt1"/>
            </a:solidFill>
          </a:ln>
          <a:effectLst/>
        </c:spPr>
      </c:pivotFmt>
    </c:pivotFmts>
    <c:plotArea>
      <c:layout>
        <c:manualLayout>
          <c:layoutTarget val="inner"/>
          <c:xMode val="edge"/>
          <c:yMode val="edge"/>
          <c:x val="6.9012727164378965E-2"/>
          <c:y val="0.22161089454204316"/>
          <c:w val="0.47251215648973033"/>
          <c:h val="0.69104292230852604"/>
        </c:manualLayout>
      </c:layout>
      <c:pieChart>
        <c:varyColors val="1"/>
        <c:ser>
          <c:idx val="0"/>
          <c:order val="0"/>
          <c:tx>
            <c:strRef>
              <c:f>Sheet5!$B$81:$B$82</c:f>
              <c:strCache>
                <c:ptCount val="1"/>
                <c:pt idx="0">
                  <c:v>Alvaro Granados 23</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88A-445A-8B9C-9BD71776EF87}"/>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D88A-445A-8B9C-9BD71776EF87}"/>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D88A-445A-8B9C-9BD71776EF87}"/>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D88A-445A-8B9C-9BD71776EF87}"/>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D88A-445A-8B9C-9BD71776EF8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Sheet5!$A$83:$A$87</c:f>
              <c:strCache>
                <c:ptCount val="5"/>
                <c:pt idx="0">
                  <c:v>Sum of FAST BREAK GOALS (TOTAL)</c:v>
                </c:pt>
                <c:pt idx="1">
                  <c:v>Sum of PENALTY GOALS (TOTAL)</c:v>
                </c:pt>
                <c:pt idx="2">
                  <c:v>Sum of POWERPLAY GOALS (TOTAL)</c:v>
                </c:pt>
                <c:pt idx="3">
                  <c:v>Sum of DIRECT FOUL GOALS (TOTAL)</c:v>
                </c:pt>
                <c:pt idx="4">
                  <c:v>Sum of ACTION GOALS (TOTAL)</c:v>
                </c:pt>
              </c:strCache>
            </c:strRef>
          </c:cat>
          <c:val>
            <c:numRef>
              <c:f>Sheet5!$B$83:$B$87</c:f>
              <c:numCache>
                <c:formatCode>General</c:formatCode>
                <c:ptCount val="5"/>
                <c:pt idx="0">
                  <c:v>1</c:v>
                </c:pt>
                <c:pt idx="1">
                  <c:v>6</c:v>
                </c:pt>
                <c:pt idx="2">
                  <c:v>8</c:v>
                </c:pt>
                <c:pt idx="3">
                  <c:v>0</c:v>
                </c:pt>
                <c:pt idx="4">
                  <c:v>8</c:v>
                </c:pt>
              </c:numCache>
            </c:numRef>
          </c:val>
          <c:extLst>
            <c:ext xmlns:c16="http://schemas.microsoft.com/office/drawing/2014/chart" uri="{C3380CC4-5D6E-409C-BE32-E72D297353CC}">
              <c16:uniqueId val="{0000000A-D88A-445A-8B9C-9BD71776EF8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578555</xdr:colOff>
      <xdr:row>10</xdr:row>
      <xdr:rowOff>97713</xdr:rowOff>
    </xdr:from>
    <xdr:to>
      <xdr:col>11</xdr:col>
      <xdr:colOff>193592</xdr:colOff>
      <xdr:row>34</xdr:row>
      <xdr:rowOff>149904</xdr:rowOff>
    </xdr:to>
    <xdr:graphicFrame macro="">
      <xdr:nvGraphicFramePr>
        <xdr:cNvPr id="2" name="Chart 3">
          <a:extLst>
            <a:ext uri="{FF2B5EF4-FFF2-40B4-BE49-F238E27FC236}">
              <a16:creationId xmlns:a16="http://schemas.microsoft.com/office/drawing/2014/main" id="{6081B16A-6894-D961-0AE1-A5DEAC310F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292081</xdr:colOff>
      <xdr:row>10</xdr:row>
      <xdr:rowOff>150683</xdr:rowOff>
    </xdr:from>
    <xdr:to>
      <xdr:col>28</xdr:col>
      <xdr:colOff>557389</xdr:colOff>
      <xdr:row>35</xdr:row>
      <xdr:rowOff>28222</xdr:rowOff>
    </xdr:to>
    <xdr:graphicFrame macro="">
      <xdr:nvGraphicFramePr>
        <xdr:cNvPr id="4" name="Chart 4">
          <a:extLst>
            <a:ext uri="{FF2B5EF4-FFF2-40B4-BE49-F238E27FC236}">
              <a16:creationId xmlns:a16="http://schemas.microsoft.com/office/drawing/2014/main" id="{6244E05A-1E2E-86BC-F58C-CE9FC74FDE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84166</xdr:colOff>
      <xdr:row>35</xdr:row>
      <xdr:rowOff>148165</xdr:rowOff>
    </xdr:from>
    <xdr:to>
      <xdr:col>29</xdr:col>
      <xdr:colOff>42333</xdr:colOff>
      <xdr:row>59</xdr:row>
      <xdr:rowOff>35276</xdr:rowOff>
    </xdr:to>
    <xdr:graphicFrame macro="">
      <xdr:nvGraphicFramePr>
        <xdr:cNvPr id="5" name="Chart 5">
          <a:extLst>
            <a:ext uri="{FF2B5EF4-FFF2-40B4-BE49-F238E27FC236}">
              <a16:creationId xmlns:a16="http://schemas.microsoft.com/office/drawing/2014/main" id="{C9B1D32A-D558-6A15-017F-A16F4DA9B1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135819</xdr:colOff>
      <xdr:row>11</xdr:row>
      <xdr:rowOff>78316</xdr:rowOff>
    </xdr:from>
    <xdr:to>
      <xdr:col>18</xdr:col>
      <xdr:colOff>144286</xdr:colOff>
      <xdr:row>25</xdr:row>
      <xdr:rowOff>30688</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288C77A2-8C1D-CE99-F567-F7A17C6B170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237486" y="2173816"/>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273402</xdr:colOff>
      <xdr:row>11</xdr:row>
      <xdr:rowOff>46567</xdr:rowOff>
    </xdr:from>
    <xdr:to>
      <xdr:col>14</xdr:col>
      <xdr:colOff>281869</xdr:colOff>
      <xdr:row>24</xdr:row>
      <xdr:rowOff>186264</xdr:rowOff>
    </xdr:to>
    <mc:AlternateContent xmlns:mc="http://schemas.openxmlformats.org/markup-compatibility/2006" xmlns:a14="http://schemas.microsoft.com/office/drawing/2010/main">
      <mc:Choice Requires="a14">
        <xdr:graphicFrame macro="">
          <xdr:nvGraphicFramePr>
            <xdr:cNvPr id="8" name="PLAYER (UPDATED)">
              <a:extLst>
                <a:ext uri="{FF2B5EF4-FFF2-40B4-BE49-F238E27FC236}">
                  <a16:creationId xmlns:a16="http://schemas.microsoft.com/office/drawing/2014/main" id="{69769ED7-FCE9-C327-5628-6138AF98D7C6}"/>
                </a:ext>
              </a:extLst>
            </xdr:cNvPr>
            <xdr:cNvGraphicFramePr/>
          </xdr:nvGraphicFramePr>
          <xdr:xfrm>
            <a:off x="0" y="0"/>
            <a:ext cx="0" cy="0"/>
          </xdr:xfrm>
          <a:graphic>
            <a:graphicData uri="http://schemas.microsoft.com/office/drawing/2010/slicer">
              <sle:slicer xmlns:sle="http://schemas.microsoft.com/office/drawing/2010/slicer" name="PLAYER (UPDATED)"/>
            </a:graphicData>
          </a:graphic>
        </xdr:graphicFrame>
      </mc:Choice>
      <mc:Fallback xmlns="">
        <xdr:sp macro="" textlink="">
          <xdr:nvSpPr>
            <xdr:cNvPr id="0" name=""/>
            <xdr:cNvSpPr>
              <a:spLocks noTextEdit="1"/>
            </xdr:cNvSpPr>
          </xdr:nvSpPr>
          <xdr:spPr>
            <a:xfrm>
              <a:off x="6947958" y="2142067"/>
              <a:ext cx="1828800" cy="261619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228247</xdr:colOff>
      <xdr:row>35</xdr:row>
      <xdr:rowOff>189795</xdr:rowOff>
    </xdr:from>
    <xdr:to>
      <xdr:col>32</xdr:col>
      <xdr:colOff>236714</xdr:colOff>
      <xdr:row>49</xdr:row>
      <xdr:rowOff>142167</xdr:rowOff>
    </xdr:to>
    <mc:AlternateContent xmlns:mc="http://schemas.openxmlformats.org/markup-compatibility/2006" xmlns:a14="http://schemas.microsoft.com/office/drawing/2010/main">
      <mc:Choice Requires="a14">
        <xdr:graphicFrame macro="">
          <xdr:nvGraphicFramePr>
            <xdr:cNvPr id="9" name="PLAYER (UPDATED) 1">
              <a:extLst>
                <a:ext uri="{FF2B5EF4-FFF2-40B4-BE49-F238E27FC236}">
                  <a16:creationId xmlns:a16="http://schemas.microsoft.com/office/drawing/2014/main" id="{0C0A135C-DDC6-6A21-0442-F8D72BF3436F}"/>
                </a:ext>
              </a:extLst>
            </xdr:cNvPr>
            <xdr:cNvGraphicFramePr/>
          </xdr:nvGraphicFramePr>
          <xdr:xfrm>
            <a:off x="0" y="0"/>
            <a:ext cx="0" cy="0"/>
          </xdr:xfrm>
          <a:graphic>
            <a:graphicData uri="http://schemas.microsoft.com/office/drawing/2010/slicer">
              <sle:slicer xmlns:sle="http://schemas.microsoft.com/office/drawing/2010/slicer" name="PLAYER (UPDATED) 1"/>
            </a:graphicData>
          </a:graphic>
        </xdr:graphicFrame>
      </mc:Choice>
      <mc:Fallback xmlns="">
        <xdr:sp macro="" textlink="">
          <xdr:nvSpPr>
            <xdr:cNvPr id="0" name=""/>
            <xdr:cNvSpPr>
              <a:spLocks noTextEdit="1"/>
            </xdr:cNvSpPr>
          </xdr:nvSpPr>
          <xdr:spPr>
            <a:xfrm>
              <a:off x="18029414" y="6854120"/>
              <a:ext cx="1828800" cy="262254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16</xdr:col>
      <xdr:colOff>96212</xdr:colOff>
      <xdr:row>14</xdr:row>
      <xdr:rowOff>80384</xdr:rowOff>
    </xdr:from>
    <xdr:to>
      <xdr:col>24</xdr:col>
      <xdr:colOff>606137</xdr:colOff>
      <xdr:row>36</xdr:row>
      <xdr:rowOff>48105</xdr:rowOff>
    </xdr:to>
    <xdr:graphicFrame macro="">
      <xdr:nvGraphicFramePr>
        <xdr:cNvPr id="4" name="Chart 1">
          <a:extLst>
            <a:ext uri="{FF2B5EF4-FFF2-40B4-BE49-F238E27FC236}">
              <a16:creationId xmlns:a16="http://schemas.microsoft.com/office/drawing/2014/main" id="{823188CB-6F00-3633-F348-937B1DFEFB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104053</xdr:colOff>
      <xdr:row>14</xdr:row>
      <xdr:rowOff>56139</xdr:rowOff>
    </xdr:from>
    <xdr:to>
      <xdr:col>8</xdr:col>
      <xdr:colOff>509924</xdr:colOff>
      <xdr:row>36</xdr:row>
      <xdr:rowOff>52917</xdr:rowOff>
    </xdr:to>
    <xdr:graphicFrame macro="">
      <xdr:nvGraphicFramePr>
        <xdr:cNvPr id="2" name="Chart 1">
          <a:extLst>
            <a:ext uri="{FF2B5EF4-FFF2-40B4-BE49-F238E27FC236}">
              <a16:creationId xmlns:a16="http://schemas.microsoft.com/office/drawing/2014/main" id="{1ED873CA-6670-5079-3901-A3311F71F6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59</xdr:row>
      <xdr:rowOff>123392</xdr:rowOff>
    </xdr:from>
    <xdr:to>
      <xdr:col>27</xdr:col>
      <xdr:colOff>327121</xdr:colOff>
      <xdr:row>84</xdr:row>
      <xdr:rowOff>28863</xdr:rowOff>
    </xdr:to>
    <xdr:graphicFrame macro="">
      <xdr:nvGraphicFramePr>
        <xdr:cNvPr id="6" name="Chart 3">
          <a:extLst>
            <a:ext uri="{FF2B5EF4-FFF2-40B4-BE49-F238E27FC236}">
              <a16:creationId xmlns:a16="http://schemas.microsoft.com/office/drawing/2014/main" id="{ABF7925B-F5D9-D2A5-35AA-B26268467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250488</xdr:colOff>
      <xdr:row>37</xdr:row>
      <xdr:rowOff>125075</xdr:rowOff>
    </xdr:from>
    <xdr:to>
      <xdr:col>19</xdr:col>
      <xdr:colOff>67349</xdr:colOff>
      <xdr:row>58</xdr:row>
      <xdr:rowOff>115455</xdr:rowOff>
    </xdr:to>
    <xdr:graphicFrame macro="">
      <xdr:nvGraphicFramePr>
        <xdr:cNvPr id="5" name="Chart 2">
          <a:extLst>
            <a:ext uri="{FF2B5EF4-FFF2-40B4-BE49-F238E27FC236}">
              <a16:creationId xmlns:a16="http://schemas.microsoft.com/office/drawing/2014/main" id="{1AA18B38-A48F-D84B-4912-6145CE481C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9813</xdr:colOff>
      <xdr:row>17</xdr:row>
      <xdr:rowOff>170295</xdr:rowOff>
    </xdr:from>
    <xdr:to>
      <xdr:col>16</xdr:col>
      <xdr:colOff>5772</xdr:colOff>
      <xdr:row>31</xdr:row>
      <xdr:rowOff>163076</xdr:rowOff>
    </xdr:to>
    <mc:AlternateContent xmlns:mc="http://schemas.openxmlformats.org/markup-compatibility/2006" xmlns:a14="http://schemas.microsoft.com/office/drawing/2010/main">
      <mc:Choice Requires="a14">
        <xdr:graphicFrame macro="">
          <xdr:nvGraphicFramePr>
            <xdr:cNvPr id="7" name="YEAR 1">
              <a:extLst>
                <a:ext uri="{FF2B5EF4-FFF2-40B4-BE49-F238E27FC236}">
                  <a16:creationId xmlns:a16="http://schemas.microsoft.com/office/drawing/2014/main" id="{EE8D2454-B424-AD36-2EF9-B151B3CF801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952124" y="3749386"/>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178185</xdr:colOff>
      <xdr:row>17</xdr:row>
      <xdr:rowOff>160674</xdr:rowOff>
    </xdr:from>
    <xdr:to>
      <xdr:col>12</xdr:col>
      <xdr:colOff>174144</xdr:colOff>
      <xdr:row>31</xdr:row>
      <xdr:rowOff>153455</xdr:rowOff>
    </xdr:to>
    <mc:AlternateContent xmlns:mc="http://schemas.openxmlformats.org/markup-compatibility/2006" xmlns:a14="http://schemas.microsoft.com/office/drawing/2010/main">
      <mc:Choice Requires="a14">
        <xdr:graphicFrame macro="">
          <xdr:nvGraphicFramePr>
            <xdr:cNvPr id="8" name="PLAYER (UPDATED) 2">
              <a:extLst>
                <a:ext uri="{FF2B5EF4-FFF2-40B4-BE49-F238E27FC236}">
                  <a16:creationId xmlns:a16="http://schemas.microsoft.com/office/drawing/2014/main" id="{56AFA03D-5D52-173A-3495-F833967C7FEF}"/>
                </a:ext>
              </a:extLst>
            </xdr:cNvPr>
            <xdr:cNvGraphicFramePr/>
          </xdr:nvGraphicFramePr>
          <xdr:xfrm>
            <a:off x="0" y="0"/>
            <a:ext cx="0" cy="0"/>
          </xdr:xfrm>
          <a:graphic>
            <a:graphicData uri="http://schemas.microsoft.com/office/drawing/2010/slicer">
              <sle:slicer xmlns:sle="http://schemas.microsoft.com/office/drawing/2010/slicer" name="PLAYER (UPDATED) 2"/>
            </a:graphicData>
          </a:graphic>
        </xdr:graphicFrame>
      </mc:Choice>
      <mc:Fallback xmlns="">
        <xdr:sp macro="" textlink="">
          <xdr:nvSpPr>
            <xdr:cNvPr id="0" name=""/>
            <xdr:cNvSpPr>
              <a:spLocks noTextEdit="1"/>
            </xdr:cNvSpPr>
          </xdr:nvSpPr>
          <xdr:spPr>
            <a:xfrm>
              <a:off x="5676708" y="3739765"/>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13</xdr:row>
      <xdr:rowOff>12499</xdr:rowOff>
    </xdr:from>
    <xdr:to>
      <xdr:col>35</xdr:col>
      <xdr:colOff>17639</xdr:colOff>
      <xdr:row>52</xdr:row>
      <xdr:rowOff>0</xdr:rowOff>
    </xdr:to>
    <xdr:graphicFrame macro="">
      <xdr:nvGraphicFramePr>
        <xdr:cNvPr id="3" name="Chart 2">
          <a:extLst>
            <a:ext uri="{FF2B5EF4-FFF2-40B4-BE49-F238E27FC236}">
              <a16:creationId xmlns:a16="http://schemas.microsoft.com/office/drawing/2014/main" id="{0CA1F03F-858E-D1E5-979C-E82040275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64911</xdr:colOff>
      <xdr:row>27</xdr:row>
      <xdr:rowOff>134408</xdr:rowOff>
    </xdr:from>
    <xdr:to>
      <xdr:col>38</xdr:col>
      <xdr:colOff>68086</xdr:colOff>
      <xdr:row>41</xdr:row>
      <xdr:rowOff>160863</xdr:rowOff>
    </xdr:to>
    <mc:AlternateContent xmlns:mc="http://schemas.openxmlformats.org/markup-compatibility/2006" xmlns:a14="http://schemas.microsoft.com/office/drawing/2010/main">
      <mc:Choice Requires="a14">
        <xdr:graphicFrame macro="">
          <xdr:nvGraphicFramePr>
            <xdr:cNvPr id="4" name="YEAR 2">
              <a:extLst>
                <a:ext uri="{FF2B5EF4-FFF2-40B4-BE49-F238E27FC236}">
                  <a16:creationId xmlns:a16="http://schemas.microsoft.com/office/drawing/2014/main" id="{046A0494-BD3C-D40F-2890-8DAB8BBD8C0B}"/>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1363869" y="5135033"/>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56092</xdr:colOff>
      <xdr:row>41</xdr:row>
      <xdr:rowOff>152047</xdr:rowOff>
    </xdr:from>
    <xdr:to>
      <xdr:col>38</xdr:col>
      <xdr:colOff>59267</xdr:colOff>
      <xdr:row>55</xdr:row>
      <xdr:rowOff>178503</xdr:rowOff>
    </xdr:to>
    <mc:AlternateContent xmlns:mc="http://schemas.openxmlformats.org/markup-compatibility/2006" xmlns:a14="http://schemas.microsoft.com/office/drawing/2010/main">
      <mc:Choice Requires="a14">
        <xdr:graphicFrame macro="">
          <xdr:nvGraphicFramePr>
            <xdr:cNvPr id="5" name="PLAYER (UPDATED) 3">
              <a:extLst>
                <a:ext uri="{FF2B5EF4-FFF2-40B4-BE49-F238E27FC236}">
                  <a16:creationId xmlns:a16="http://schemas.microsoft.com/office/drawing/2014/main" id="{E98087B1-D243-3DA2-5B73-12286941D465}"/>
                </a:ext>
              </a:extLst>
            </xdr:cNvPr>
            <xdr:cNvGraphicFramePr/>
          </xdr:nvGraphicFramePr>
          <xdr:xfrm>
            <a:off x="0" y="0"/>
            <a:ext cx="0" cy="0"/>
          </xdr:xfrm>
          <a:graphic>
            <a:graphicData uri="http://schemas.microsoft.com/office/drawing/2010/slicer">
              <sle:slicer xmlns:sle="http://schemas.microsoft.com/office/drawing/2010/slicer" name="PLAYER (UPDATED) 3"/>
            </a:graphicData>
          </a:graphic>
        </xdr:graphicFrame>
      </mc:Choice>
      <mc:Fallback xmlns="">
        <xdr:sp macro="" textlink="">
          <xdr:nvSpPr>
            <xdr:cNvPr id="0" name=""/>
            <xdr:cNvSpPr>
              <a:spLocks noTextEdit="1"/>
            </xdr:cNvSpPr>
          </xdr:nvSpPr>
          <xdr:spPr>
            <a:xfrm>
              <a:off x="21355050" y="7745589"/>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29634</xdr:colOff>
      <xdr:row>13</xdr:row>
      <xdr:rowOff>37395</xdr:rowOff>
    </xdr:from>
    <xdr:to>
      <xdr:col>38</xdr:col>
      <xdr:colOff>32809</xdr:colOff>
      <xdr:row>27</xdr:row>
      <xdr:rowOff>63850</xdr:rowOff>
    </xdr:to>
    <mc:AlternateContent xmlns:mc="http://schemas.openxmlformats.org/markup-compatibility/2006" xmlns:a14="http://schemas.microsoft.com/office/drawing/2010/main">
      <mc:Choice Requires="a14">
        <xdr:graphicFrame macro="">
          <xdr:nvGraphicFramePr>
            <xdr:cNvPr id="6" name="STATUS">
              <a:extLst>
                <a:ext uri="{FF2B5EF4-FFF2-40B4-BE49-F238E27FC236}">
                  <a16:creationId xmlns:a16="http://schemas.microsoft.com/office/drawing/2014/main" id="{CDA1ACE7-A0CF-9A8B-1C48-A72279FC4B74}"/>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1328592" y="2445103"/>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8</xdr:row>
      <xdr:rowOff>58737</xdr:rowOff>
    </xdr:from>
    <xdr:to>
      <xdr:col>13</xdr:col>
      <xdr:colOff>73024</xdr:colOff>
      <xdr:row>26</xdr:row>
      <xdr:rowOff>60325</xdr:rowOff>
    </xdr:to>
    <xdr:graphicFrame macro="">
      <xdr:nvGraphicFramePr>
        <xdr:cNvPr id="2" name="Chart 4">
          <a:extLst>
            <a:ext uri="{FF2B5EF4-FFF2-40B4-BE49-F238E27FC236}">
              <a16:creationId xmlns:a16="http://schemas.microsoft.com/office/drawing/2014/main" id="{4A705525-D5F7-FFCE-0E6B-DFFE7E7EC9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438150</xdr:colOff>
      <xdr:row>110</xdr:row>
      <xdr:rowOff>113703</xdr:rowOff>
    </xdr:from>
    <xdr:to>
      <xdr:col>34</xdr:col>
      <xdr:colOff>133350</xdr:colOff>
      <xdr:row>125</xdr:row>
      <xdr:rowOff>47028</xdr:rowOff>
    </xdr:to>
    <xdr:graphicFrame macro="">
      <xdr:nvGraphicFramePr>
        <xdr:cNvPr id="3" name="Chart 1">
          <a:extLst>
            <a:ext uri="{FF2B5EF4-FFF2-40B4-BE49-F238E27FC236}">
              <a16:creationId xmlns:a16="http://schemas.microsoft.com/office/drawing/2014/main" id="{61628809-AE77-D62E-C665-9CF931041A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114300</xdr:colOff>
      <xdr:row>8</xdr:row>
      <xdr:rowOff>53975</xdr:rowOff>
    </xdr:from>
    <xdr:to>
      <xdr:col>15</xdr:col>
      <xdr:colOff>137783</xdr:colOff>
      <xdr:row>13</xdr:row>
      <xdr:rowOff>77876</xdr:rowOff>
    </xdr:to>
    <mc:AlternateContent xmlns:mc="http://schemas.openxmlformats.org/markup-compatibility/2006" xmlns:a14="http://schemas.microsoft.com/office/drawing/2010/main">
      <mc:Choice Requires="a14">
        <xdr:graphicFrame macro="">
          <xdr:nvGraphicFramePr>
            <xdr:cNvPr id="4" name="YEAR 3">
              <a:extLst>
                <a:ext uri="{FF2B5EF4-FFF2-40B4-BE49-F238E27FC236}">
                  <a16:creationId xmlns:a16="http://schemas.microsoft.com/office/drawing/2014/main" id="{A7BF68B3-C614-59BB-8542-2E3A8BEBC5DD}"/>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8057791" y="1539635"/>
              <a:ext cx="1245558" cy="9524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195592</xdr:colOff>
      <xdr:row>8</xdr:row>
      <xdr:rowOff>10244</xdr:rowOff>
    </xdr:from>
    <xdr:to>
      <xdr:col>18</xdr:col>
      <xdr:colOff>195592</xdr:colOff>
      <xdr:row>22</xdr:row>
      <xdr:rowOff>7066</xdr:rowOff>
    </xdr:to>
    <mc:AlternateContent xmlns:mc="http://schemas.openxmlformats.org/markup-compatibility/2006" xmlns:a14="http://schemas.microsoft.com/office/drawing/2010/main">
      <mc:Choice Requires="a14">
        <xdr:graphicFrame macro="">
          <xdr:nvGraphicFramePr>
            <xdr:cNvPr id="5" name="PLAYER (UPDATED) 4">
              <a:extLst>
                <a:ext uri="{FF2B5EF4-FFF2-40B4-BE49-F238E27FC236}">
                  <a16:creationId xmlns:a16="http://schemas.microsoft.com/office/drawing/2014/main" id="{87319794-09C6-C1ED-47FE-6E593F30A03C}"/>
                </a:ext>
              </a:extLst>
            </xdr:cNvPr>
            <xdr:cNvGraphicFramePr/>
          </xdr:nvGraphicFramePr>
          <xdr:xfrm>
            <a:off x="0" y="0"/>
            <a:ext cx="0" cy="0"/>
          </xdr:xfrm>
          <a:graphic>
            <a:graphicData uri="http://schemas.microsoft.com/office/drawing/2010/slicer">
              <sle:slicer xmlns:sle="http://schemas.microsoft.com/office/drawing/2010/slicer" name="PLAYER (UPDATED) 4"/>
            </a:graphicData>
          </a:graphic>
        </xdr:graphicFrame>
      </mc:Choice>
      <mc:Fallback xmlns="">
        <xdr:sp macro="" textlink="">
          <xdr:nvSpPr>
            <xdr:cNvPr id="0" name=""/>
            <xdr:cNvSpPr>
              <a:spLocks noTextEdit="1"/>
            </xdr:cNvSpPr>
          </xdr:nvSpPr>
          <xdr:spPr>
            <a:xfrm>
              <a:off x="9361158" y="1495904"/>
              <a:ext cx="1833113" cy="259672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115078</xdr:colOff>
      <xdr:row>13</xdr:row>
      <xdr:rowOff>183671</xdr:rowOff>
    </xdr:from>
    <xdr:to>
      <xdr:col>15</xdr:col>
      <xdr:colOff>101840</xdr:colOff>
      <xdr:row>19</xdr:row>
      <xdr:rowOff>125801</xdr:rowOff>
    </xdr:to>
    <mc:AlternateContent xmlns:mc="http://schemas.openxmlformats.org/markup-compatibility/2006" xmlns:a14="http://schemas.microsoft.com/office/drawing/2010/main">
      <mc:Choice Requires="a14">
        <xdr:graphicFrame macro="">
          <xdr:nvGraphicFramePr>
            <xdr:cNvPr id="6" name="STATUS 1">
              <a:extLst>
                <a:ext uri="{FF2B5EF4-FFF2-40B4-BE49-F238E27FC236}">
                  <a16:creationId xmlns:a16="http://schemas.microsoft.com/office/drawing/2014/main" id="{0FE054AD-555C-ACEC-D2AD-DF2B29F5AE5F}"/>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8058569" y="2597869"/>
              <a:ext cx="1208837" cy="1056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13</xdr:row>
      <xdr:rowOff>23056</xdr:rowOff>
    </xdr:from>
    <xdr:to>
      <xdr:col>16</xdr:col>
      <xdr:colOff>11339</xdr:colOff>
      <xdr:row>31</xdr:row>
      <xdr:rowOff>158750</xdr:rowOff>
    </xdr:to>
    <xdr:graphicFrame macro="">
      <xdr:nvGraphicFramePr>
        <xdr:cNvPr id="2" name="Chart 1">
          <a:extLst>
            <a:ext uri="{FF2B5EF4-FFF2-40B4-BE49-F238E27FC236}">
              <a16:creationId xmlns:a16="http://schemas.microsoft.com/office/drawing/2014/main" id="{03F1F873-F3D1-D8FC-D938-3E6322834D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125016</xdr:colOff>
      <xdr:row>178</xdr:row>
      <xdr:rowOff>186369</xdr:rowOff>
    </xdr:from>
    <xdr:to>
      <xdr:col>25</xdr:col>
      <xdr:colOff>437224</xdr:colOff>
      <xdr:row>193</xdr:row>
      <xdr:rowOff>94748</xdr:rowOff>
    </xdr:to>
    <xdr:graphicFrame macro="">
      <xdr:nvGraphicFramePr>
        <xdr:cNvPr id="4" name="Chart 3">
          <a:extLst>
            <a:ext uri="{FF2B5EF4-FFF2-40B4-BE49-F238E27FC236}">
              <a16:creationId xmlns:a16="http://schemas.microsoft.com/office/drawing/2014/main" id="{B7BB56FB-BC71-5349-251F-BE3352AD91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88143</xdr:colOff>
      <xdr:row>18</xdr:row>
      <xdr:rowOff>64709</xdr:rowOff>
    </xdr:from>
    <xdr:to>
      <xdr:col>19</xdr:col>
      <xdr:colOff>91318</xdr:colOff>
      <xdr:row>23</xdr:row>
      <xdr:rowOff>18899</xdr:rowOff>
    </xdr:to>
    <mc:AlternateContent xmlns:mc="http://schemas.openxmlformats.org/markup-compatibility/2006" xmlns:a14="http://schemas.microsoft.com/office/drawing/2010/main">
      <mc:Choice Requires="a14">
        <xdr:graphicFrame macro="">
          <xdr:nvGraphicFramePr>
            <xdr:cNvPr id="5" name="YEAR 4">
              <a:extLst>
                <a:ext uri="{FF2B5EF4-FFF2-40B4-BE49-F238E27FC236}">
                  <a16:creationId xmlns:a16="http://schemas.microsoft.com/office/drawing/2014/main" id="{85121553-B776-F134-31B8-70352C30E3DE}"/>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9824810" y="3466495"/>
              <a:ext cx="1828800" cy="8991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73025</xdr:colOff>
      <xdr:row>23</xdr:row>
      <xdr:rowOff>72270</xdr:rowOff>
    </xdr:from>
    <xdr:to>
      <xdr:col>19</xdr:col>
      <xdr:colOff>76200</xdr:colOff>
      <xdr:row>37</xdr:row>
      <xdr:rowOff>45808</xdr:rowOff>
    </xdr:to>
    <mc:AlternateContent xmlns:mc="http://schemas.openxmlformats.org/markup-compatibility/2006" xmlns:a14="http://schemas.microsoft.com/office/drawing/2010/main">
      <mc:Choice Requires="a14">
        <xdr:graphicFrame macro="">
          <xdr:nvGraphicFramePr>
            <xdr:cNvPr id="6" name="PLAYER (UPDATED) 5">
              <a:extLst>
                <a:ext uri="{FF2B5EF4-FFF2-40B4-BE49-F238E27FC236}">
                  <a16:creationId xmlns:a16="http://schemas.microsoft.com/office/drawing/2014/main" id="{B0BE0A19-3C63-0187-2B63-E647A99C544E}"/>
                </a:ext>
              </a:extLst>
            </xdr:cNvPr>
            <xdr:cNvGraphicFramePr/>
          </xdr:nvGraphicFramePr>
          <xdr:xfrm>
            <a:off x="0" y="0"/>
            <a:ext cx="0" cy="0"/>
          </xdr:xfrm>
          <a:graphic>
            <a:graphicData uri="http://schemas.microsoft.com/office/drawing/2010/slicer">
              <sle:slicer xmlns:sle="http://schemas.microsoft.com/office/drawing/2010/slicer" name="PLAYER (UPDATED) 5"/>
            </a:graphicData>
          </a:graphic>
        </xdr:graphicFrame>
      </mc:Choice>
      <mc:Fallback xmlns="">
        <xdr:sp macro="" textlink="">
          <xdr:nvSpPr>
            <xdr:cNvPr id="0" name=""/>
            <xdr:cNvSpPr>
              <a:spLocks noTextEdit="1"/>
            </xdr:cNvSpPr>
          </xdr:nvSpPr>
          <xdr:spPr>
            <a:xfrm>
              <a:off x="9809692" y="4418996"/>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54125</xdr:colOff>
      <xdr:row>13</xdr:row>
      <xdr:rowOff>42031</xdr:rowOff>
    </xdr:from>
    <xdr:to>
      <xdr:col>19</xdr:col>
      <xdr:colOff>57300</xdr:colOff>
      <xdr:row>18</xdr:row>
      <xdr:rowOff>18899</xdr:rowOff>
    </xdr:to>
    <mc:AlternateContent xmlns:mc="http://schemas.openxmlformats.org/markup-compatibility/2006" xmlns:a14="http://schemas.microsoft.com/office/drawing/2010/main">
      <mc:Choice Requires="a14">
        <xdr:graphicFrame macro="">
          <xdr:nvGraphicFramePr>
            <xdr:cNvPr id="7" name="STATUS 2">
              <a:extLst>
                <a:ext uri="{FF2B5EF4-FFF2-40B4-BE49-F238E27FC236}">
                  <a16:creationId xmlns:a16="http://schemas.microsoft.com/office/drawing/2014/main" id="{9BB9BC4E-859F-90AF-3643-803F68E09A07}"/>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9790792" y="2498876"/>
              <a:ext cx="1828800" cy="9218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31</xdr:row>
      <xdr:rowOff>117040</xdr:rowOff>
    </xdr:from>
    <xdr:to>
      <xdr:col>17</xdr:col>
      <xdr:colOff>57727</xdr:colOff>
      <xdr:row>55</xdr:row>
      <xdr:rowOff>86590</xdr:rowOff>
    </xdr:to>
    <xdr:graphicFrame macro="">
      <xdr:nvGraphicFramePr>
        <xdr:cNvPr id="2" name="Chart 3">
          <a:extLst>
            <a:ext uri="{FF2B5EF4-FFF2-40B4-BE49-F238E27FC236}">
              <a16:creationId xmlns:a16="http://schemas.microsoft.com/office/drawing/2014/main" id="{7DD1F6F7-11D8-89B7-1EC1-25AC553092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29582</xdr:rowOff>
    </xdr:from>
    <xdr:to>
      <xdr:col>17</xdr:col>
      <xdr:colOff>43296</xdr:colOff>
      <xdr:row>31</xdr:row>
      <xdr:rowOff>72158</xdr:rowOff>
    </xdr:to>
    <xdr:graphicFrame macro="">
      <xdr:nvGraphicFramePr>
        <xdr:cNvPr id="4" name="Chart 5">
          <a:extLst>
            <a:ext uri="{FF2B5EF4-FFF2-40B4-BE49-F238E27FC236}">
              <a16:creationId xmlns:a16="http://schemas.microsoft.com/office/drawing/2014/main" id="{7537C995-7B99-E228-2D7D-48A1E51E8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12844</xdr:colOff>
      <xdr:row>12</xdr:row>
      <xdr:rowOff>5049</xdr:rowOff>
    </xdr:from>
    <xdr:to>
      <xdr:col>25</xdr:col>
      <xdr:colOff>368011</xdr:colOff>
      <xdr:row>31</xdr:row>
      <xdr:rowOff>144318</xdr:rowOff>
    </xdr:to>
    <xdr:graphicFrame macro="">
      <xdr:nvGraphicFramePr>
        <xdr:cNvPr id="5" name="Chart 6">
          <a:extLst>
            <a:ext uri="{FF2B5EF4-FFF2-40B4-BE49-F238E27FC236}">
              <a16:creationId xmlns:a16="http://schemas.microsoft.com/office/drawing/2014/main" id="{248EE608-EBBA-55E3-E005-D4E2CDF3B3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25</xdr:col>
      <xdr:colOff>564284</xdr:colOff>
      <xdr:row>12</xdr:row>
      <xdr:rowOff>45027</xdr:rowOff>
    </xdr:from>
    <xdr:to>
      <xdr:col>28</xdr:col>
      <xdr:colOff>574675</xdr:colOff>
      <xdr:row>22</xdr:row>
      <xdr:rowOff>24200</xdr:rowOff>
    </xdr:to>
    <mc:AlternateContent xmlns:mc="http://schemas.openxmlformats.org/markup-compatibility/2006" xmlns:a14="http://schemas.microsoft.com/office/drawing/2010/main">
      <mc:Choice Requires="a14">
        <xdr:graphicFrame macro="">
          <xdr:nvGraphicFramePr>
            <xdr:cNvPr id="7" name="YEAR 5">
              <a:extLst>
                <a:ext uri="{FF2B5EF4-FFF2-40B4-BE49-F238E27FC236}">
                  <a16:creationId xmlns:a16="http://schemas.microsoft.com/office/drawing/2014/main" id="{D6C7B1FD-A36F-D2BF-D55E-DADBCC946BAA}"/>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15717693" y="2296391"/>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6.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3.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4.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15.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ivotTable" Target="../pivotTables/pivotTable1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17.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pivotTable" Target="../pivotTables/pivotTable19.bin"/><Relationship Id="rId2" Type="http://schemas.openxmlformats.org/officeDocument/2006/relationships/pivotTable" Target="../pivotTables/pivotTable18.bin"/><Relationship Id="rId1" Type="http://schemas.microsoft.com/office/2006/relationships/xlBinaryIndex" Target="binaryIndex12.bin"/><Relationship Id="rId6" Type="http://schemas.openxmlformats.org/officeDocument/2006/relationships/pivotTable" Target="../pivotTables/pivotTable22.bin"/><Relationship Id="rId5" Type="http://schemas.openxmlformats.org/officeDocument/2006/relationships/pivotTable" Target="../pivotTables/pivotTable21.bin"/><Relationship Id="rId4" Type="http://schemas.openxmlformats.org/officeDocument/2006/relationships/pivotTable" Target="../pivotTables/pivotTable20.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7.bin"/><Relationship Id="rId2" Type="http://schemas.openxmlformats.org/officeDocument/2006/relationships/table" Target="../tables/table6.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18.bin"/><Relationship Id="rId4" Type="http://schemas.microsoft.com/office/2007/relationships/slicer" Target="../slicers/slicer3.bin"/></Relationships>
</file>

<file path=xl/worksheets/_rels/sheet19.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4.xml"/><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microsoft.com/office/2007/relationships/slicer" Target="../slicers/slicer5.bin"/><Relationship Id="rId2" Type="http://schemas.openxmlformats.org/officeDocument/2006/relationships/drawing" Target="../drawings/drawing5.xml"/><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microsoft.com/office/2007/relationships/slicer" Target="../slicers/slicer6.bin"/><Relationship Id="rId2" Type="http://schemas.openxmlformats.org/officeDocument/2006/relationships/drawing" Target="../drawings/drawing6.xml"/><Relationship Id="rId1" Type="http://schemas.microsoft.com/office/2006/relationships/xlBinaryIndex" Target="binaryIndex2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F877F6-A9ED-4CFA-8A12-831E9E6AA43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Hojas de cálculo</vt:lpstr>
      </vt:variant>
      <vt:variant>
        <vt:i4>22</vt:i4>
      </vt:variant>
    </vt:vector>
  </HeadingPairs>
  <TitlesOfParts>
    <vt:vector size="22" baseType="lpstr">
      <vt:lpstr>PIVOT TABLES</vt:lpstr>
      <vt:lpstr>PIVOT TABLE 2</vt:lpstr>
      <vt:lpstr>Goals PT</vt:lpstr>
      <vt:lpstr>Goals Attemps data </vt:lpstr>
      <vt:lpstr>CNAB_2023</vt:lpstr>
      <vt:lpstr>CNAB 2023</vt:lpstr>
      <vt:lpstr>CNAB_2024</vt:lpstr>
      <vt:lpstr>CNAB 2024 </vt:lpstr>
      <vt:lpstr>Sheet2</vt:lpstr>
      <vt:lpstr>Granados pivot table</vt:lpstr>
      <vt:lpstr>Sheet4</vt:lpstr>
      <vt:lpstr>Sheet5</vt:lpstr>
      <vt:lpstr>GRANADOS DATABASE</vt:lpstr>
      <vt:lpstr>GRANADOS_2023</vt:lpstr>
      <vt:lpstr>GRANADOS 2023</vt:lpstr>
      <vt:lpstr>PPA DASHBOARD</vt:lpstr>
      <vt:lpstr>OTH DASHBOARD</vt:lpstr>
      <vt:lpstr>ATT DASHBOARD</vt:lpstr>
      <vt:lpstr>DEF DASHBOARD</vt:lpstr>
      <vt:lpstr>WAS DASHBOARD</vt:lpstr>
      <vt:lpstr>Sheet1</vt:lpstr>
      <vt:lpstr>GRANADOS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Schaffel</dc:creator>
  <cp:lastModifiedBy>Matthew Schaffel</cp:lastModifiedBy>
  <dcterms:created xsi:type="dcterms:W3CDTF">2024-12-03T10:30:50Z</dcterms:created>
  <dcterms:modified xsi:type="dcterms:W3CDTF">2025-01-16T15:17:37Z</dcterms:modified>
</cp:coreProperties>
</file>